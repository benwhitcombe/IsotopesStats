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Stats" sheetId="1" r:id="rId5"/>
    <sheet state="visible" name="AVG" sheetId="2" r:id="rId6"/>
    <sheet state="visible" name="OBP" sheetId="3" r:id="rId7"/>
    <sheet state="visible" name="SLG" sheetId="4" r:id="rId8"/>
    <sheet state="visible" name="OPS" sheetId="5" r:id="rId9"/>
    <sheet state="visible" name="RBIs" sheetId="6" r:id="rId10"/>
    <sheet state="visible" name="HRs" sheetId="7" r:id="rId11"/>
    <sheet state="visible" name="Game Stats" sheetId="8" r:id="rId12"/>
    <sheet state="visible" name="Cumulative AVG" sheetId="9" r:id="rId13"/>
    <sheet state="visible" name="Data" sheetId="10" r:id="rId14"/>
    <sheet state="visible" name="Definitions &amp; Information" sheetId="11" r:id="rId15"/>
    <sheet state="visible" name="Validation" sheetId="12" r:id="rId16"/>
  </sheets>
  <definedNames>
    <definedName name="Players">Validation!$A:$A</definedName>
    <definedName name="Diamonds">Validation!$B:$B</definedName>
    <definedName name="Opposition">Validation!$C:$C</definedName>
  </definedNames>
  <calcPr/>
</workbook>
</file>

<file path=xl/sharedStrings.xml><?xml version="1.0" encoding="utf-8"?>
<sst xmlns="http://schemas.openxmlformats.org/spreadsheetml/2006/main" count="1728" uniqueCount="114">
  <si>
    <t>Player</t>
  </si>
  <si>
    <t>GP</t>
  </si>
  <si>
    <t>PA</t>
  </si>
  <si>
    <t>AB</t>
  </si>
  <si>
    <t>H</t>
  </si>
  <si>
    <t>1B</t>
  </si>
  <si>
    <t>2B</t>
  </si>
  <si>
    <t>3B</t>
  </si>
  <si>
    <t>4B</t>
  </si>
  <si>
    <t>HR</t>
  </si>
  <si>
    <t>FC</t>
  </si>
  <si>
    <t>BB</t>
  </si>
  <si>
    <t>SF</t>
  </si>
  <si>
    <t>K</t>
  </si>
  <si>
    <t>KF</t>
  </si>
  <si>
    <t>TB</t>
  </si>
  <si>
    <t>GO</t>
  </si>
  <si>
    <t>FO</t>
  </si>
  <si>
    <t>O</t>
  </si>
  <si>
    <t>R</t>
  </si>
  <si>
    <t>RBI</t>
  </si>
  <si>
    <t>AVG</t>
  </si>
  <si>
    <t>OBP</t>
  </si>
  <si>
    <t>SLG</t>
  </si>
  <si>
    <t>OPS</t>
  </si>
  <si>
    <t>Mitch</t>
  </si>
  <si>
    <t>Justin</t>
  </si>
  <si>
    <t>Mike</t>
  </si>
  <si>
    <t>Tim P</t>
  </si>
  <si>
    <t>Luke</t>
  </si>
  <si>
    <t>Henry</t>
  </si>
  <si>
    <t>Tim G</t>
  </si>
  <si>
    <t>Jay</t>
  </si>
  <si>
    <t>Dan</t>
  </si>
  <si>
    <t>Hiren</t>
  </si>
  <si>
    <t>Bill</t>
  </si>
  <si>
    <t>Ben</t>
  </si>
  <si>
    <t>Kevin</t>
  </si>
  <si>
    <t>Doug</t>
  </si>
  <si>
    <t>Suthan</t>
  </si>
  <si>
    <t>Craig</t>
  </si>
  <si>
    <t>Team Totals:</t>
  </si>
  <si>
    <t>Last Updated:</t>
  </si>
  <si>
    <t>Player:</t>
  </si>
  <si>
    <t>Game Totals</t>
  </si>
  <si>
    <t>Game #</t>
  </si>
  <si>
    <t>Opposition</t>
  </si>
  <si>
    <t>DIFF</t>
  </si>
  <si>
    <t>Max:</t>
  </si>
  <si>
    <t>Min:</t>
  </si>
  <si>
    <t>Date</t>
  </si>
  <si>
    <t>Time</t>
  </si>
  <si>
    <t>Diamond</t>
  </si>
  <si>
    <t>BO</t>
  </si>
  <si>
    <t>K1</t>
  </si>
  <si>
    <t>The Crew</t>
  </si>
  <si>
    <t>Surge</t>
  </si>
  <si>
    <t>Inglorious Batters</t>
  </si>
  <si>
    <t>K2</t>
  </si>
  <si>
    <t>Greenthumbs</t>
  </si>
  <si>
    <t>Falcons</t>
  </si>
  <si>
    <t>Triple Play</t>
  </si>
  <si>
    <t>Hanet Plastics</t>
  </si>
  <si>
    <t>Broadway</t>
  </si>
  <si>
    <t>* Left the game after second inning due to injury</t>
  </si>
  <si>
    <t>* DNF 7th inning due to time, stats still recorded, Broadway submitted 8-9 but we recorded 10-11</t>
  </si>
  <si>
    <t>Storm</t>
  </si>
  <si>
    <t>Coulas Bone Crushers</t>
  </si>
  <si>
    <t>* Bill left the game during the 5th inning due to injury</t>
  </si>
  <si>
    <t>* Ben missed an AB in the 5th while assisting Bill</t>
  </si>
  <si>
    <t>The Expos</t>
  </si>
  <si>
    <t>Spare</t>
  </si>
  <si>
    <t>* DNF 7th inning due to time, stats still recorded</t>
  </si>
  <si>
    <t xml:space="preserve">Scoresheets: </t>
  </si>
  <si>
    <t>Isotopes 2025 Scoresheets</t>
  </si>
  <si>
    <t>Abbreviation</t>
  </si>
  <si>
    <t>Description</t>
  </si>
  <si>
    <t>Calculation</t>
  </si>
  <si>
    <t>Single</t>
  </si>
  <si>
    <t>Double</t>
  </si>
  <si>
    <t>Triple</t>
  </si>
  <si>
    <t>Inside the Park Home Run</t>
  </si>
  <si>
    <t>At Bats</t>
  </si>
  <si>
    <t>1B + 2B + 3B + 4B + HR + FC + K + KF + GO + FO</t>
  </si>
  <si>
    <t>Hitting Average</t>
  </si>
  <si>
    <t>H / AB</t>
  </si>
  <si>
    <t>Base on Balls (Walk)</t>
  </si>
  <si>
    <t>Batting Order</t>
  </si>
  <si>
    <t>Fielder's Choice</t>
  </si>
  <si>
    <t>Fly Out</t>
  </si>
  <si>
    <t>Ground Out</t>
  </si>
  <si>
    <t>Hits</t>
  </si>
  <si>
    <t>1B + 2B + 3B + 4B + HR</t>
  </si>
  <si>
    <t>Home Run</t>
  </si>
  <si>
    <t>Strike Out</t>
  </si>
  <si>
    <t>Strike Out on Foul Ball</t>
  </si>
  <si>
    <t>Outs</t>
  </si>
  <si>
    <t>FO + GO (Does not include any other type of outs)</t>
  </si>
  <si>
    <t>On Base Percentage</t>
  </si>
  <si>
    <t>H + BB / PA</t>
  </si>
  <si>
    <t>On Base Plus Slugging</t>
  </si>
  <si>
    <t>OBP + SLG</t>
  </si>
  <si>
    <t>Plate Appearance</t>
  </si>
  <si>
    <t>Any appearance at the plate</t>
  </si>
  <si>
    <t>Runs</t>
  </si>
  <si>
    <t>Runs Batted In</t>
  </si>
  <si>
    <t>Sacrifice Fly</t>
  </si>
  <si>
    <t>Slugging</t>
  </si>
  <si>
    <t>TB / AB</t>
  </si>
  <si>
    <t>Total Bases</t>
  </si>
  <si>
    <t>1B + (2B * 2) + (3B * 3) + (4B * 4) + (HR * 4)</t>
  </si>
  <si>
    <t>Isotopes</t>
  </si>
  <si>
    <t>Defaulted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</si>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</sst>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M/d/yyyy"/>
    <numFmt numFmtId="166" formatCode="0.000000000"/>
    <numFmt numFmtId="167" formatCode="#,##0.000"/>
    <numFmt numFmtId="168" formatCode="yyyy\-mm\-dd"/>
    <numFmt numFmtId="169" formatCode="[$-F400]h:mm:ss\ AM/PM"/>
  </numFmts>
  <fonts count="1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FFFFFF"/>
      <name val="Roboto"/>
    </font>
    <font>
      <b/>
      <color theme="1"/>
      <name val="Calibri"/>
      <scheme val="minor"/>
    </font>
    <font>
      <sz val="11.0"/>
      <color rgb="FF434343"/>
      <name val="Roboto"/>
    </font>
    <font>
      <sz val="11.0"/>
      <color theme="1"/>
      <name val="Calibri"/>
    </font>
    <font>
      <b/>
      <color rgb="FFFFFFFF"/>
      <name val="Roboto"/>
    </font>
    <font>
      <sz val="11.0"/>
      <color theme="1"/>
      <name val="Roboto"/>
    </font>
    <font>
      <b/>
      <sz val="11.0"/>
      <color theme="1"/>
      <name val="Roboto"/>
    </font>
    <font>
      <b/>
      <color theme="1"/>
      <name val="Roboto"/>
    </font>
    <font>
      <sz val="11.0"/>
      <color rgb="FF000000"/>
      <name val="Roboto"/>
    </font>
    <font>
      <color theme="1"/>
      <name val="Roboto"/>
    </font>
    <font>
      <b/>
      <u/>
      <color rgb="FF0000F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CDD9D4"/>
        <bgColor rgb="FFCDD9D4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7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CDD9D4"/>
      </left>
      <right style="thin">
        <color rgb="FFCDD9D4"/>
      </right>
      <top>
        <color rgb="FF284E3F"/>
      </top>
      <bottom style="thin">
        <color rgb="FF284E3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" xfId="0" applyAlignment="1" applyFont="1" applyNumberForma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2" fillId="3" fontId="4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vertical="bottom"/>
    </xf>
    <xf borderId="0" fillId="0" fontId="1" numFmtId="164" xfId="0" applyFont="1" applyNumberFormat="1"/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left" readingOrder="0"/>
    </xf>
    <xf borderId="0" fillId="2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8" numFmtId="1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8" numFmtId="49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3" fillId="0" fontId="1" numFmtId="1" xfId="0" applyAlignment="1" applyBorder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0" fontId="1" numFmtId="164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6" fillId="0" fontId="1" numFmtId="1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9" fillId="0" fontId="1" numFmtId="1" xfId="0" applyAlignment="1" applyBorder="1" applyFont="1" applyNumberFormat="1">
      <alignment horizontal="center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Font="1" applyNumberFormat="1"/>
    <xf borderId="4" fillId="0" fontId="1" numFmtId="167" xfId="0" applyAlignment="1" applyBorder="1" applyFont="1" applyNumberFormat="1">
      <alignment readingOrder="0" shrinkToFit="0" vertical="center" wrapText="0"/>
    </xf>
    <xf borderId="0" fillId="0" fontId="1" numFmtId="167" xfId="0" applyAlignment="1" applyFont="1" applyNumberFormat="1">
      <alignment shrinkToFit="0" vertical="center" wrapText="0"/>
    </xf>
    <xf borderId="9" fillId="0" fontId="1" numFmtId="1" xfId="0" applyAlignment="1" applyBorder="1" applyFont="1" applyNumberFormat="1">
      <alignment horizontal="center"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8" numFmtId="168" xfId="0" applyAlignment="1" applyFont="1" applyNumberFormat="1">
      <alignment horizontal="left" readingOrder="0" shrinkToFit="0" vertical="center" wrapText="0"/>
    </xf>
    <xf borderId="0" fillId="0" fontId="8" numFmtId="169" xfId="0" applyAlignment="1" applyFont="1" applyNumberFormat="1">
      <alignment horizontal="left" readingOrder="0" shrinkToFit="0" vertical="center" wrapText="0"/>
    </xf>
    <xf borderId="0" fillId="0" fontId="3" numFmtId="0" xfId="0" applyFont="1"/>
    <xf borderId="3" fillId="0" fontId="7" numFmtId="1" xfId="0" applyAlignment="1" applyBorder="1" applyFont="1" applyNumberFormat="1">
      <alignment readingOrder="0" shrinkToFit="0" vertical="center" wrapText="0"/>
    </xf>
    <xf borderId="4" fillId="0" fontId="7" numFmtId="168" xfId="0" applyAlignment="1" applyBorder="1" applyFont="1" applyNumberFormat="1">
      <alignment readingOrder="0" shrinkToFit="0" vertical="center" wrapText="0"/>
    </xf>
    <xf borderId="4" fillId="0" fontId="7" numFmtId="169" xfId="0" applyAlignment="1" applyBorder="1" applyFont="1" applyNumberFormat="1">
      <alignment shrinkToFit="0" vertical="center" wrapText="0"/>
    </xf>
    <xf borderId="4" fillId="0" fontId="7" numFmtId="168" xfId="0" applyAlignment="1" applyBorder="1" applyFont="1" applyNumberFormat="1">
      <alignment shrinkToFit="0" vertical="center" wrapText="0"/>
    </xf>
    <xf borderId="4" fillId="0" fontId="7" numFmtId="0" xfId="0" applyAlignment="1" applyBorder="1" applyFont="1">
      <alignment readingOrder="0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3" fillId="0" fontId="7" numFmtId="0" xfId="0" applyAlignment="1" applyBorder="1" applyFont="1">
      <alignment horizontal="center" readingOrder="0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5" fillId="0" fontId="7" numFmtId="0" xfId="0" applyAlignment="1" applyBorder="1" applyFont="1">
      <alignment horizontal="center" readingOrder="0" shrinkToFit="0" vertical="center" wrapText="0"/>
    </xf>
    <xf borderId="6" fillId="0" fontId="7" numFmtId="1" xfId="0" applyAlignment="1" applyBorder="1" applyFont="1" applyNumberFormat="1">
      <alignment readingOrder="0" shrinkToFit="0" vertical="center" wrapText="0"/>
    </xf>
    <xf borderId="0" fillId="0" fontId="7" numFmtId="168" xfId="0" applyAlignment="1" applyFont="1" applyNumberFormat="1">
      <alignment readingOrder="0" shrinkToFit="0" vertical="center" wrapText="0"/>
    </xf>
    <xf borderId="0" fillId="0" fontId="7" numFmtId="169" xfId="0" applyAlignment="1" applyFont="1" applyNumberFormat="1">
      <alignment shrinkToFit="0" vertical="center" wrapText="0"/>
    </xf>
    <xf borderId="0" fillId="0" fontId="7" numFmtId="168" xfId="0" applyAlignment="1" applyFont="1" applyNumberForma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6" fillId="0" fontId="7" numFmtId="0" xfId="0" applyAlignment="1" applyBorder="1" applyFont="1">
      <alignment horizontal="center" readingOrder="0" shrinkToFit="0" vertical="center" wrapText="0"/>
    </xf>
    <xf borderId="7" fillId="0" fontId="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shrinkToFit="0" vertical="center" wrapText="0"/>
    </xf>
    <xf borderId="6" fillId="4" fontId="7" numFmtId="1" xfId="0" applyAlignment="1" applyBorder="1" applyFill="1" applyFont="1" applyNumberFormat="1">
      <alignment readingOrder="0" shrinkToFit="0" vertical="center" wrapText="0"/>
    </xf>
    <xf borderId="0" fillId="4" fontId="7" numFmtId="168" xfId="0" applyAlignment="1" applyFont="1" applyNumberFormat="1">
      <alignment readingOrder="0" shrinkToFit="0" vertical="center" wrapText="0"/>
    </xf>
    <xf borderId="0" fillId="4" fontId="7" numFmtId="169" xfId="0" applyAlignment="1" applyFont="1" applyNumberFormat="1">
      <alignment shrinkToFit="0" vertical="center" wrapText="0"/>
    </xf>
    <xf borderId="0" fillId="4" fontId="7" numFmtId="168" xfId="0" applyAlignment="1" applyFont="1" applyNumberFormat="1">
      <alignment shrinkToFit="0" vertical="center" wrapText="0"/>
    </xf>
    <xf borderId="0" fillId="4" fontId="7" numFmtId="0" xfId="0" applyAlignment="1" applyFont="1">
      <alignment readingOrder="0" shrinkToFit="0" vertical="center" wrapText="0"/>
    </xf>
    <xf borderId="0" fillId="4" fontId="7" numFmtId="0" xfId="0" applyAlignment="1" applyFont="1">
      <alignment horizontal="center" shrinkToFit="0" vertical="center" wrapText="0"/>
    </xf>
    <xf borderId="6" fillId="4" fontId="7" numFmtId="0" xfId="0" applyAlignment="1" applyBorder="1" applyFont="1">
      <alignment horizontal="center" readingOrder="0" shrinkToFit="0" vertical="center" wrapText="0"/>
    </xf>
    <xf borderId="0" fillId="4" fontId="7" numFmtId="0" xfId="0" applyAlignment="1" applyFont="1">
      <alignment horizontal="center" readingOrder="0" shrinkToFit="0" vertical="center" wrapText="0"/>
    </xf>
    <xf borderId="7" fillId="4" fontId="7" numFmtId="0" xfId="0" applyAlignment="1" applyBorder="1" applyFont="1">
      <alignment horizontal="center" readingOrder="0" shrinkToFit="0" vertical="center" wrapText="0"/>
    </xf>
    <xf borderId="4" fillId="0" fontId="7" numFmtId="169" xfId="0" applyAlignment="1" applyBorder="1" applyFont="1" applyNumberFormat="1">
      <alignment readingOrder="0" shrinkToFit="0" vertical="center" wrapText="0"/>
    </xf>
    <xf borderId="0" fillId="0" fontId="7" numFmtId="169" xfId="0" applyAlignment="1" applyFont="1" applyNumberFormat="1">
      <alignment readingOrder="0" shrinkToFit="0" vertical="center" wrapText="0"/>
    </xf>
    <xf borderId="0" fillId="4" fontId="7" numFmtId="169" xfId="0" applyAlignment="1" applyFont="1" applyNumberFormat="1">
      <alignment readingOrder="0" shrinkToFit="0" vertical="center" wrapText="0"/>
    </xf>
    <xf borderId="9" fillId="4" fontId="7" numFmtId="0" xfId="0" applyAlignment="1" applyBorder="1" applyFont="1">
      <alignment horizontal="center" readingOrder="0" shrinkToFit="0" vertical="center" wrapText="0"/>
    </xf>
    <xf borderId="8" fillId="4" fontId="7" numFmtId="0" xfId="0" applyAlignment="1" applyBorder="1" applyFont="1">
      <alignment horizontal="center" readingOrder="0" shrinkToFit="0" vertical="center" wrapText="0"/>
    </xf>
    <xf borderId="10" fillId="4" fontId="7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9" fillId="4" fontId="7" numFmtId="1" xfId="0" applyAlignment="1" applyBorder="1" applyFont="1" applyNumberFormat="1">
      <alignment readingOrder="0" shrinkToFit="0" vertical="center" wrapText="0"/>
    </xf>
    <xf borderId="8" fillId="4" fontId="7" numFmtId="168" xfId="0" applyAlignment="1" applyBorder="1" applyFont="1" applyNumberFormat="1">
      <alignment readingOrder="0" shrinkToFit="0" vertical="center" wrapText="0"/>
    </xf>
    <xf borderId="8" fillId="4" fontId="7" numFmtId="169" xfId="0" applyAlignment="1" applyBorder="1" applyFont="1" applyNumberFormat="1">
      <alignment readingOrder="0" shrinkToFit="0" vertical="center" wrapText="0"/>
    </xf>
    <xf borderId="8" fillId="4" fontId="7" numFmtId="0" xfId="0" applyAlignment="1" applyBorder="1" applyFont="1">
      <alignment readingOrder="0" shrinkToFit="0" vertical="center" wrapText="0"/>
    </xf>
    <xf borderId="8" fillId="4" fontId="7" numFmtId="0" xfId="0" applyAlignment="1" applyBorder="1" applyFont="1">
      <alignment horizontal="center" shrinkToFit="0" vertical="center" wrapText="0"/>
    </xf>
    <xf borderId="11" fillId="5" fontId="10" numFmtId="1" xfId="0" applyAlignment="1" applyBorder="1" applyFill="1" applyFont="1" applyNumberFormat="1">
      <alignment horizontal="right" readingOrder="0" shrinkToFit="0" vertical="center" wrapText="0"/>
    </xf>
    <xf borderId="12" fillId="5" fontId="10" numFmtId="168" xfId="0" applyAlignment="1" applyBorder="1" applyFont="1" applyNumberFormat="1">
      <alignment horizontal="right" readingOrder="0" shrinkToFit="0" vertical="center" wrapText="0"/>
    </xf>
    <xf borderId="12" fillId="5" fontId="10" numFmtId="169" xfId="0" applyAlignment="1" applyBorder="1" applyFont="1" applyNumberFormat="1">
      <alignment horizontal="right" readingOrder="0" shrinkToFit="0" vertical="center" wrapText="0"/>
    </xf>
    <xf borderId="12" fillId="5" fontId="10" numFmtId="0" xfId="0" applyAlignment="1" applyBorder="1" applyFont="1">
      <alignment readingOrder="0" shrinkToFit="0" vertical="center" wrapText="0"/>
    </xf>
    <xf borderId="12" fillId="5" fontId="10" numFmtId="0" xfId="0" applyAlignment="1" applyBorder="1" applyFont="1">
      <alignment shrinkToFit="0" vertical="center" wrapText="0"/>
    </xf>
    <xf borderId="12" fillId="5" fontId="10" numFmtId="0" xfId="0" applyAlignment="1" applyBorder="1" applyFont="1">
      <alignment horizontal="center" shrinkToFit="0" vertical="center" wrapText="0"/>
    </xf>
    <xf borderId="11" fillId="5" fontId="10" numFmtId="0" xfId="0" applyAlignment="1" applyBorder="1" applyFont="1">
      <alignment horizontal="center" shrinkToFit="0" vertical="center" wrapText="0"/>
    </xf>
    <xf borderId="12" fillId="5" fontId="10" numFmtId="0" xfId="0" applyAlignment="1" applyBorder="1" applyFont="1">
      <alignment horizontal="center" shrinkToFit="0" vertical="center" wrapText="0"/>
    </xf>
    <xf borderId="11" fillId="5" fontId="10" numFmtId="0" xfId="0" applyAlignment="1" applyBorder="1" applyFont="1">
      <alignment horizontal="center" readingOrder="0" shrinkToFit="0" vertical="center" wrapText="0"/>
    </xf>
    <xf borderId="12" fillId="5" fontId="10" numFmtId="0" xfId="0" applyAlignment="1" applyBorder="1" applyFont="1">
      <alignment horizontal="center" readingOrder="0" shrinkToFit="0" vertical="center" wrapText="0"/>
    </xf>
    <xf borderId="13" fillId="5" fontId="10" numFmtId="0" xfId="0" applyAlignment="1" applyBorder="1" applyFont="1">
      <alignment horizontal="center" readingOrder="0" shrinkToFit="0" vertical="center" wrapText="0"/>
    </xf>
    <xf borderId="14" fillId="6" fontId="10" numFmtId="1" xfId="0" applyAlignment="1" applyBorder="1" applyFill="1" applyFont="1" applyNumberFormat="1">
      <alignment horizontal="right" readingOrder="0" shrinkToFit="0" vertical="center" wrapText="0"/>
    </xf>
    <xf borderId="15" fillId="6" fontId="10" numFmtId="168" xfId="0" applyAlignment="1" applyBorder="1" applyFont="1" applyNumberFormat="1">
      <alignment horizontal="right" readingOrder="0" shrinkToFit="0" vertical="center" wrapText="0"/>
    </xf>
    <xf borderId="15" fillId="6" fontId="10" numFmtId="169" xfId="0" applyAlignment="1" applyBorder="1" applyFont="1" applyNumberFormat="1">
      <alignment horizontal="right" readingOrder="0" shrinkToFit="0" vertical="center" wrapText="0"/>
    </xf>
    <xf borderId="15" fillId="6" fontId="10" numFmtId="0" xfId="0" applyAlignment="1" applyBorder="1" applyFont="1">
      <alignment readingOrder="0" shrinkToFit="0" vertical="center" wrapText="0"/>
    </xf>
    <xf borderId="15" fillId="6" fontId="10" numFmtId="0" xfId="0" applyAlignment="1" applyBorder="1" applyFont="1">
      <alignment shrinkToFit="0" vertical="center" wrapText="0"/>
    </xf>
    <xf borderId="15" fillId="6" fontId="10" numFmtId="0" xfId="0" applyAlignment="1" applyBorder="1" applyFont="1">
      <alignment horizontal="center" shrinkToFit="0" vertical="center" wrapText="0"/>
    </xf>
    <xf borderId="14" fillId="6" fontId="10" numFmtId="0" xfId="0" applyAlignment="1" applyBorder="1" applyFont="1">
      <alignment horizontal="center" shrinkToFit="0" vertical="center" wrapText="0"/>
    </xf>
    <xf borderId="15" fillId="6" fontId="10" numFmtId="0" xfId="0" applyAlignment="1" applyBorder="1" applyFont="1">
      <alignment horizontal="center" shrinkToFit="0" vertical="center" wrapText="0"/>
    </xf>
    <xf borderId="14" fillId="6" fontId="10" numFmtId="0" xfId="0" applyAlignment="1" applyBorder="1" applyFont="1">
      <alignment horizontal="center" readingOrder="0" shrinkToFit="0" vertical="center" wrapText="0"/>
    </xf>
    <xf borderId="15" fillId="6" fontId="10" numFmtId="0" xfId="0" applyAlignment="1" applyBorder="1" applyFont="1">
      <alignment horizontal="center" readingOrder="0" shrinkToFit="0" vertical="center" wrapText="0"/>
    </xf>
    <xf borderId="16" fillId="6" fontId="10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readingOrder="0" vertical="bottom"/>
    </xf>
    <xf borderId="9" fillId="4" fontId="10" numFmtId="1" xfId="0" applyAlignment="1" applyBorder="1" applyFont="1" applyNumberFormat="1">
      <alignment readingOrder="0" shrinkToFit="0" vertical="center" wrapText="0"/>
    </xf>
    <xf borderId="8" fillId="4" fontId="10" numFmtId="168" xfId="0" applyAlignment="1" applyBorder="1" applyFont="1" applyNumberFormat="1">
      <alignment readingOrder="0" shrinkToFit="0" vertical="center" wrapText="0"/>
    </xf>
    <xf borderId="8" fillId="4" fontId="10" numFmtId="169" xfId="0" applyAlignment="1" applyBorder="1" applyFont="1" applyNumberFormat="1">
      <alignment readingOrder="0" shrinkToFit="0" vertical="center" wrapText="0"/>
    </xf>
    <xf borderId="8" fillId="4" fontId="10" numFmtId="0" xfId="0" applyAlignment="1" applyBorder="1" applyFont="1">
      <alignment readingOrder="0" shrinkToFit="0" vertical="center" wrapText="0"/>
    </xf>
    <xf borderId="8" fillId="4" fontId="10" numFmtId="0" xfId="0" applyAlignment="1" applyBorder="1" applyFont="1">
      <alignment horizontal="center" shrinkToFit="0" vertical="center" wrapText="0"/>
    </xf>
    <xf borderId="9" fillId="4" fontId="10" numFmtId="0" xfId="0" applyAlignment="1" applyBorder="1" applyFont="1">
      <alignment horizontal="center" readingOrder="0" shrinkToFit="0" vertical="center" wrapText="0"/>
    </xf>
    <xf borderId="8" fillId="4" fontId="10" numFmtId="0" xfId="0" applyAlignment="1" applyBorder="1" applyFont="1">
      <alignment horizontal="center" readingOrder="0" shrinkToFit="0" vertical="center" wrapText="0"/>
    </xf>
    <xf borderId="10" fillId="4" fontId="10" numFmtId="0" xfId="0" applyAlignment="1" applyBorder="1" applyFont="1">
      <alignment horizontal="center" readingOrder="0" shrinkToFit="0" vertical="center" wrapText="0"/>
    </xf>
    <xf borderId="12" fillId="5" fontId="10" numFmtId="168" xfId="0" applyAlignment="1" applyBorder="1" applyFont="1" applyNumberFormat="1">
      <alignment horizontal="right" shrinkToFit="0" vertical="center" wrapText="0"/>
    </xf>
    <xf borderId="15" fillId="6" fontId="10" numFmtId="168" xfId="0" applyAlignment="1" applyBorder="1" applyFont="1" applyNumberFormat="1">
      <alignment horizontal="right" shrinkToFit="0" vertical="center" wrapText="0"/>
    </xf>
    <xf borderId="0" fillId="6" fontId="10" numFmtId="168" xfId="0" applyAlignment="1" applyFont="1" applyNumberFormat="1">
      <alignment horizontal="right" readingOrder="0" shrinkToFit="0" vertical="center" wrapText="0"/>
    </xf>
    <xf borderId="0" fillId="6" fontId="10" numFmtId="169" xfId="0" applyAlignment="1" applyFont="1" applyNumberFormat="1">
      <alignment horizontal="right" readingOrder="0" shrinkToFit="0" vertical="center" wrapText="0"/>
    </xf>
    <xf borderId="0" fillId="6" fontId="10" numFmtId="0" xfId="0" applyAlignment="1" applyFont="1">
      <alignment readingOrder="0" shrinkToFit="0" vertical="center" wrapText="0"/>
    </xf>
    <xf borderId="6" fillId="6" fontId="10" numFmtId="0" xfId="0" applyAlignment="1" applyBorder="1" applyFont="1">
      <alignment horizontal="center" shrinkToFit="0" vertical="center" wrapText="0"/>
    </xf>
    <xf borderId="0" fillId="6" fontId="10" numFmtId="0" xfId="0" applyAlignment="1" applyFont="1">
      <alignment horizontal="center" shrinkToFit="0" vertical="center" wrapText="0"/>
    </xf>
    <xf borderId="6" fillId="6" fontId="10" numFmtId="0" xfId="0" applyAlignment="1" applyBorder="1" applyFont="1">
      <alignment horizontal="center" readingOrder="0" shrinkToFit="0" vertical="center" wrapText="0"/>
    </xf>
    <xf borderId="0" fillId="6" fontId="10" numFmtId="0" xfId="0" applyAlignment="1" applyFont="1">
      <alignment horizontal="center" readingOrder="0" shrinkToFit="0" vertical="center" wrapText="0"/>
    </xf>
    <xf borderId="7" fillId="6" fontId="10" numFmtId="0" xfId="0" applyAlignment="1" applyBorder="1" applyFont="1">
      <alignment horizontal="center" readingOrder="0" shrinkToFit="0" vertical="center" wrapText="0"/>
    </xf>
    <xf borderId="6" fillId="6" fontId="10" numFmtId="1" xfId="0" applyAlignment="1" applyBorder="1" applyFont="1" applyNumberFormat="1">
      <alignment horizontal="right" shrinkToFit="0" vertical="center" wrapText="0"/>
    </xf>
    <xf borderId="0" fillId="6" fontId="10" numFmtId="168" xfId="0" applyAlignment="1" applyFont="1" applyNumberFormat="1">
      <alignment horizontal="right" shrinkToFit="0" vertical="center" wrapText="0"/>
    </xf>
    <xf borderId="0" fillId="6" fontId="10" numFmtId="169" xfId="0" applyAlignment="1" applyFont="1" applyNumberFormat="1">
      <alignment horizontal="right" shrinkToFit="0" vertical="center" wrapText="0"/>
    </xf>
    <xf borderId="0" fillId="6" fontId="10" numFmtId="0" xfId="0" applyAlignment="1" applyFont="1">
      <alignment shrinkToFit="0" vertical="center" wrapText="0"/>
    </xf>
    <xf borderId="0" fillId="5" fontId="10" numFmtId="0" xfId="0" applyAlignment="1" applyFont="1">
      <alignment shrinkToFit="0" vertical="center" wrapText="0"/>
    </xf>
    <xf borderId="6" fillId="5" fontId="10" numFmtId="0" xfId="0" applyAlignment="1" applyBorder="1" applyFont="1">
      <alignment horizontal="center" readingOrder="0" shrinkToFit="0" vertical="center" wrapText="0"/>
    </xf>
    <xf borderId="0" fillId="5" fontId="10" numFmtId="0" xfId="0" applyAlignment="1" applyFont="1">
      <alignment horizontal="center" readingOrder="0" shrinkToFit="0" vertical="center" wrapText="0"/>
    </xf>
    <xf borderId="7" fillId="5" fontId="10" numFmtId="0" xfId="0" applyAlignment="1" applyBorder="1" applyFont="1">
      <alignment horizontal="center" readingOrder="0" shrinkToFit="0" vertical="center" wrapText="0"/>
    </xf>
    <xf borderId="0" fillId="5" fontId="10" numFmtId="0" xfId="0" applyAlignment="1" applyFont="1">
      <alignment readingOrder="0" shrinkToFit="0" vertical="center" wrapText="0"/>
    </xf>
    <xf borderId="6" fillId="6" fontId="10" numFmtId="1" xfId="0" applyAlignment="1" applyBorder="1" applyFont="1" applyNumberFormat="1">
      <alignment horizontal="right" readingOrder="0" shrinkToFit="0" vertical="center" wrapText="0"/>
    </xf>
    <xf borderId="0" fillId="0" fontId="5" numFmtId="0" xfId="0" applyAlignment="1" applyFont="1">
      <alignment vertical="bottom"/>
    </xf>
    <xf borderId="0" fillId="0" fontId="5" numFmtId="1" xfId="0" applyAlignment="1" applyFont="1" applyNumberFormat="1">
      <alignment horizontal="left"/>
    </xf>
    <xf borderId="0" fillId="0" fontId="5" numFmtId="169" xfId="0" applyAlignment="1" applyFont="1" applyNumberFormat="1">
      <alignment horizontal="left"/>
    </xf>
    <xf borderId="0" fillId="0" fontId="5" numFmtId="168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1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F00"/>
          <bgColor rgb="FFFFFF00"/>
        </patternFill>
      </fill>
      <border/>
    </dxf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1">
    <tableStyle count="5" pivot="0" name="Player Stat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VG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OBP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SLG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OP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RBI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HR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Game Stat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Cumulative AVG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Data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Definitions &amp; Information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'Cumulative AVG'!$A$3:$A$40</c:f>
            </c:strRef>
          </c:cat>
          <c:val>
            <c:numRef>
              <c:f>'Cumulative AVG'!$C$3:$C$41</c:f>
              <c:numCache/>
            </c:numRef>
          </c:val>
          <c:smooth val="0"/>
        </c:ser>
        <c:axId val="514158952"/>
        <c:axId val="975648956"/>
      </c:lineChart>
      <c:catAx>
        <c:axId val="514158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648956"/>
      </c:catAx>
      <c:valAx>
        <c:axId val="97564895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4158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2</xdr:row>
      <xdr:rowOff>57150</xdr:rowOff>
    </xdr:from>
    <xdr:ext cx="6067425" cy="4467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Y18" displayName="Player_Stats" name="Player_Stats" id="1">
  <tableColumns count="25">
    <tableColumn totalsRowLabel="Team Totals:" name="Player" id="1"/>
    <tableColumn totalsRowFunction="custom" name="GP" id="2"/>
    <tableColumn totalsRowFunction="custom" name="PA" id="3"/>
    <tableColumn totalsRowFunction="custom" name="AB" id="4"/>
    <tableColumn totalsRowFunction="custom" name="H" id="5"/>
    <tableColumn totalsRowFunction="custom" name="1B" id="6"/>
    <tableColumn totalsRowFunction="custom" name="2B" id="7"/>
    <tableColumn totalsRowFunction="custom" name="3B" id="8"/>
    <tableColumn totalsRowFunction="custom" name="4B" id="9"/>
    <tableColumn totalsRowFunction="custom" name="HR" id="10"/>
    <tableColumn totalsRowFunction="custom" name="FC" id="11"/>
    <tableColumn totalsRowFunction="custom" name="BB" id="12"/>
    <tableColumn totalsRowFunction="custom" name="SF" id="13"/>
    <tableColumn totalsRowFunction="custom" name="K" id="14"/>
    <tableColumn totalsRowFunction="custom" name="KF" id="15"/>
    <tableColumn totalsRowFunction="custom" name="TB" id="16"/>
    <tableColumn totalsRowFunction="custom" name="GO" id="17"/>
    <tableColumn totalsRowFunction="custom" name="FO" id="18"/>
    <tableColumn totalsRowFunction="custom" name="O" id="19"/>
    <tableColumn totalsRowFunction="custom" name="R" id="20"/>
    <tableColumn totalsRowFunction="custom" name="RBI" id="21"/>
    <tableColumn totalsRowFunction="custom" name="AVG" id="22"/>
    <tableColumn totalsRowFunction="custom" name="OBP" id="23"/>
    <tableColumn totalsRowFunction="custom" name="SLG" id="24"/>
    <tableColumn totalsRowFunction="custom" name="OPS" id="25"/>
  </tableColumns>
  <tableStyleInfo name="Player Stat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E18" displayName="AVG" name="AVG" id="2">
  <tableColumns count="5">
    <tableColumn totalsRowLabel="Team Totals:" name="Player" id="1"/>
    <tableColumn totalsRowFunction="custom" name="GP" id="2"/>
    <tableColumn totalsRowFunction="custom" name="AB" id="3"/>
    <tableColumn totalsRowFunction="custom" name="H" id="4"/>
    <tableColumn totalsRowFunction="custom" name="AVG" id="5"/>
  </tableColumns>
  <tableStyleInfo name="AVG-style" showColumnStripes="0" showFirstColumn="1" showLastColumn="1" showRowStripes="1"/>
</table>
</file>

<file path=xl/tables/table3.xml><?xml version="1.0" encoding="utf-8"?>
<table xmlns="http://schemas.openxmlformats.org/spreadsheetml/2006/main" totalsRowCount="1" ref="A1:F18" displayName="OBP" name="OBP" id="3">
  <tableColumns count="6">
    <tableColumn totalsRowLabel="Team Totals:" name="Player" id="1"/>
    <tableColumn totalsRowFunction="custom" name="GP" id="2"/>
    <tableColumn totalsRowFunction="custom" name="PA" id="3"/>
    <tableColumn totalsRowFunction="custom" name="H" id="4"/>
    <tableColumn totalsRowFunction="custom" name="BB" id="5"/>
    <tableColumn totalsRowFunction="custom" name="OBP" id="6"/>
  </tableColumns>
  <tableStyleInfo name="OBP-style" showColumnStripes="0" showFirstColumn="1" showLastColumn="1" showRowStripes="1"/>
</table>
</file>

<file path=xl/tables/table4.xml><?xml version="1.0" encoding="utf-8"?>
<table xmlns="http://schemas.openxmlformats.org/spreadsheetml/2006/main" totalsRowCount="1" ref="A1:K18" displayName="SLG" name="SLG" id="4">
  <tableColumns count="11">
    <tableColumn totalsRowLabel="Team Totals:" name="Player" id="1"/>
    <tableColumn totalsRowFunction="custom" name="GP" id="2"/>
    <tableColumn totalsRowFunction="custom" name="AB" id="3"/>
    <tableColumn totalsRowFunction="custom" name="H" id="4"/>
    <tableColumn totalsRowFunction="custom" name="1B" id="5"/>
    <tableColumn totalsRowFunction="custom" name="2B" id="6"/>
    <tableColumn totalsRowFunction="custom" name="3B" id="7"/>
    <tableColumn totalsRowFunction="custom" name="4B" id="8"/>
    <tableColumn totalsRowFunction="custom" name="HR" id="9"/>
    <tableColumn totalsRowFunction="custom" name="TB" id="10"/>
    <tableColumn totalsRowFunction="custom" name="SLG" id="11"/>
  </tableColumns>
  <tableStyleInfo name="SLG-style" showColumnStripes="0" showFirstColumn="1" showLastColumn="1" showRowStripes="1"/>
</table>
</file>

<file path=xl/tables/table5.xml><?xml version="1.0" encoding="utf-8"?>
<table xmlns="http://schemas.openxmlformats.org/spreadsheetml/2006/main" totalsRowCount="1" ref="A1:M18" displayName="OPS" name="OPS" id="5">
  <tableColumns count="13">
    <tableColumn totalsRowLabel="Team Totals:" name="Player" id="1"/>
    <tableColumn totalsRowFunction="custom" name="GP" id="2"/>
    <tableColumn totalsRowFunction="custom" name="PA" id="3"/>
    <tableColumn totalsRowFunction="custom" name="AB" id="4"/>
    <tableColumn totalsRowFunction="custom" name="H" id="5"/>
    <tableColumn totalsRowFunction="custom" name="1B" id="6"/>
    <tableColumn totalsRowFunction="custom" name="2B" id="7"/>
    <tableColumn totalsRowFunction="custom" name="3B" id="8"/>
    <tableColumn totalsRowFunction="custom" name="4B" id="9"/>
    <tableColumn totalsRowFunction="custom" name="HR" id="10"/>
    <tableColumn totalsRowFunction="custom" name="BB" id="11"/>
    <tableColumn totalsRowFunction="custom" name="TB" id="12"/>
    <tableColumn totalsRowFunction="custom" name="OPS" id="13"/>
  </tableColumns>
  <tableStyleInfo name="OPS-style" showColumnStripes="0" showFirstColumn="1" showLastColumn="1" showRowStripes="1"/>
</table>
</file>

<file path=xl/tables/table6.xml><?xml version="1.0" encoding="utf-8"?>
<table xmlns="http://schemas.openxmlformats.org/spreadsheetml/2006/main" totalsRowCount="1" ref="A1:D18" displayName="RBI" name="RBI" id="6">
  <tableColumns count="4">
    <tableColumn totalsRowLabel="Team Totals:" name="Player" id="1"/>
    <tableColumn totalsRowFunction="custom" name="GP" id="2"/>
    <tableColumn totalsRowFunction="custom" name="PA" id="3"/>
    <tableColumn totalsRowFunction="custom" name="RBI" id="4"/>
  </tableColumns>
  <tableStyleInfo name="RBIs-style" showColumnStripes="0" showFirstColumn="1" showLastColumn="1" showRowStripes="1"/>
</table>
</file>

<file path=xl/tables/table7.xml><?xml version="1.0" encoding="utf-8"?>
<table xmlns="http://schemas.openxmlformats.org/spreadsheetml/2006/main" totalsRowCount="1" ref="A1:D18" displayName="HR" name="HR" id="7">
  <tableColumns count="4">
    <tableColumn totalsRowLabel="Team Totals:" name="Player" id="1"/>
    <tableColumn totalsRowFunction="custom" name="GP" id="2"/>
    <tableColumn totalsRowFunction="custom" name="PA" id="3"/>
    <tableColumn totalsRowFunction="custom" name="HR" id="4"/>
  </tableColumns>
  <tableStyleInfo name="HRs-style" showColumnStripes="0" showFirstColumn="1" showLastColumn="1" showRowStripes="1"/>
</table>
</file>

<file path=xl/tables/table8.xml><?xml version="1.0" encoding="utf-8"?>
<table xmlns="http://schemas.openxmlformats.org/spreadsheetml/2006/main" totalsRowCount="1" ref="A2:W41" displayName="Game_Stats" name="Game_Stats" id="8">
  <tableColumns count="23">
    <tableColumn name="Game #" id="1"/>
    <tableColumn name="Opposition" id="2"/>
    <tableColumn totalsRowFunction="custom" name="AVG" id="3"/>
    <tableColumn totalsRowFunction="custom" name="OBP" id="4"/>
    <tableColumn totalsRowFunction="custom" name="SLG" id="5"/>
    <tableColumn totalsRowFunction="custom" name="OPS" id="6"/>
    <tableColumn totalsRowFunction="custom" name="PA" id="7"/>
    <tableColumn totalsRowFunction="custom" name="AB" id="8"/>
    <tableColumn totalsRowFunction="custom" name="H" id="9"/>
    <tableColumn totalsRowFunction="custom" name="1B" id="10"/>
    <tableColumn totalsRowFunction="custom" name="2B" id="11"/>
    <tableColumn totalsRowFunction="custom" name="3B" id="12"/>
    <tableColumn totalsRowFunction="custom" name="4B" id="13"/>
    <tableColumn totalsRowFunction="custom" name="HR" id="14"/>
    <tableColumn totalsRowFunction="custom" name="FC" id="15"/>
    <tableColumn totalsRowFunction="custom" name="BB" id="16"/>
    <tableColumn totalsRowFunction="custom" name="SF" id="17"/>
    <tableColumn totalsRowFunction="custom" name="K" id="18"/>
    <tableColumn totalsRowFunction="custom" name="KF" id="19"/>
    <tableColumn totalsRowFunction="custom" name="GO" id="20"/>
    <tableColumn totalsRowFunction="custom" name="FO" id="21"/>
    <tableColumn totalsRowFunction="custom" name="R" id="22"/>
    <tableColumn totalsRowFunction="custom" name="RBI" id="23"/>
  </tableColumns>
  <tableStyleInfo name="Game Stats-style" showColumnStripes="0" showFirstColumn="1" showLastColumn="1" showRowStripes="1"/>
</table>
</file>

<file path=xl/tables/table9.xml><?xml version="1.0" encoding="utf-8"?>
<table xmlns="http://schemas.openxmlformats.org/spreadsheetml/2006/main" totalsRowCount="1" ref="A2:F41" displayName="Cumulative_AVG" name="Cumulative_AVG" id="9">
  <tableColumns count="6">
    <tableColumn name="Game #" id="1"/>
    <tableColumn totalsRowLabel="Max:" name="Opposition" id="2"/>
    <tableColumn totalsRowFunction="custom" name="AVG" id="3"/>
    <tableColumn totalsRowLabel="Min:" name="DIFF" id="4"/>
    <tableColumn totalsRowFunction="custom" name="AB" id="5"/>
    <tableColumn name="H" id="6"/>
  </tableColumns>
  <tableStyleInfo name="Cumulative AVG-style" showColumnStripes="0" showFirstColumn="1" showLastColumn="1" showRowStripes="1"/>
</table>
</file>

<file path=xl/tables/table10.xml><?xml version="1.0" encoding="utf-8"?>
<table xmlns="http://schemas.openxmlformats.org/spreadsheetml/2006/main" ref="A1:X461" displayName="Game_Data" name="Game_Data" id="10">
  <tableColumns count="24">
    <tableColumn name="Game #" id="1"/>
    <tableColumn name="Date" id="2"/>
    <tableColumn name="Time" id="3"/>
    <tableColumn name="Diamond" id="4"/>
    <tableColumn name="Opposition" id="5"/>
    <tableColumn name="Player" id="6"/>
    <tableColumn name="BO" id="7"/>
    <tableColumn name="PA" id="8"/>
    <tableColumn name="AB" id="9"/>
    <tableColumn name="H" id="10"/>
    <tableColumn name="1B" id="11"/>
    <tableColumn name="2B" id="12"/>
    <tableColumn name="3B" id="13"/>
    <tableColumn name="4B" id="14"/>
    <tableColumn name="HR" id="15"/>
    <tableColumn name="FC" id="16"/>
    <tableColumn name="BB" id="17"/>
    <tableColumn name="SF" id="18"/>
    <tableColumn name="K" id="19"/>
    <tableColumn name="KF" id="20"/>
    <tableColumn name="GO" id="21"/>
    <tableColumn name="FO" id="22"/>
    <tableColumn name="R" id="23"/>
    <tableColumn name="RBI" id="24"/>
  </tableColumns>
  <tableStyleInfo name="Data-style" showColumnStripes="0" showFirstColumn="1" showLastColumn="1" showRowStripes="1"/>
</table>
</file>

<file path=xl/tables/table11.xml><?xml version="1.0" encoding="utf-8"?>
<table xmlns="http://schemas.openxmlformats.org/spreadsheetml/2006/main" ref="A5:C29" displayName="Definitions" name="Definitions" id="11">
  <tableColumns count="3">
    <tableColumn name="Abbreviation" id="1"/>
    <tableColumn name="Description" id="2"/>
    <tableColumn name="Calculation" id="3"/>
  </tableColumns>
  <tableStyleInfo name="Definitions &amp; Inform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MPYipqdFSKohgGBXlwAOHrOq1lm18t-C?usp=sharing" TargetMode="External"/><Relationship Id="rId2" Type="http://schemas.openxmlformats.org/officeDocument/2006/relationships/drawing" Target="../drawings/drawing11.xml"/><Relationship Id="rId4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9.0"/>
    <col customWidth="1" min="3" max="3" width="8.86"/>
    <col customWidth="1" min="4" max="4" width="9.0"/>
    <col customWidth="1" min="5" max="5" width="7.71"/>
    <col customWidth="1" min="6" max="9" width="8.71"/>
    <col customWidth="1" min="10" max="10" width="9.0"/>
    <col customWidth="1" min="11" max="12" width="8.86"/>
    <col customWidth="1" min="13" max="14" width="7.57"/>
    <col customWidth="1" min="15" max="15" width="8.71"/>
    <col customWidth="1" min="16" max="16" width="8.86"/>
    <col customWidth="1" min="17" max="22" width="7.57"/>
    <col customWidth="1" min="23" max="23" width="10.29"/>
    <col customWidth="1" min="24" max="24" width="9.57"/>
    <col customWidth="1" min="25" max="25" width="9.0"/>
    <col customWidth="1" min="26" max="26" width="5.57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ht="22.5" customHeight="1">
      <c r="A2" s="5" t="s">
        <v>25</v>
      </c>
      <c r="B2" s="6">
        <f>COUNTIF(Game_Data[Player],$A2)</f>
        <v>21</v>
      </c>
      <c r="C2" s="6">
        <f>SUMIF(Game_Data[Player],$A2,Game_Data[PA])</f>
        <v>86</v>
      </c>
      <c r="D2" s="6">
        <f>SUMIF(Game_Data[Player],$A2,Game_Data[AB])</f>
        <v>77</v>
      </c>
      <c r="E2" s="6">
        <f>SUMIF(Game_Data[Player],$A2,Game_Data[H])</f>
        <v>59</v>
      </c>
      <c r="F2" s="7">
        <f>SUMIF(Game_Data[Player],$A2,Game_Data[1B])</f>
        <v>43</v>
      </c>
      <c r="G2" s="7">
        <f>SUMIF(Game_Data[Player],$A2,Game_Data[2B])</f>
        <v>8</v>
      </c>
      <c r="H2" s="7">
        <f>SUMIF(Game_Data[Player],$A2,Game_Data[3B])</f>
        <v>5</v>
      </c>
      <c r="I2" s="7">
        <f>SUMIF(Game_Data[Player],$A2,Game_Data[4B])</f>
        <v>0</v>
      </c>
      <c r="J2" s="7">
        <f>SUMIF(Game_Data[Player],$A2,Game_Data[HR])</f>
        <v>3</v>
      </c>
      <c r="K2" s="7">
        <f>SUMIF(Game_Data[Player],$A2,Game_Data[FC])</f>
        <v>2</v>
      </c>
      <c r="L2" s="7">
        <f>SUMIF(Game_Data[Player],$A2,Game_Data[BB])</f>
        <v>5</v>
      </c>
      <c r="M2" s="7">
        <f>SUMIF(Game_Data[Player],$A2,Game_Data[SF])</f>
        <v>4</v>
      </c>
      <c r="N2" s="7">
        <f>SUMIF(Game_Data[Player],$A2,Game_Data[K])</f>
        <v>1</v>
      </c>
      <c r="O2" s="7">
        <f>SUMIF(Game_Data[Player],$A2,Game_Data[KF])</f>
        <v>0</v>
      </c>
      <c r="P2" s="7">
        <f t="shared" ref="P2:P17" si="1">(F2)+(G2*2)+(H2*3)+(I2*4)+(J2*4)</f>
        <v>86</v>
      </c>
      <c r="Q2" s="7">
        <f>SUMIF(Game_Data[Player],$A2,Game_Data[GO])</f>
        <v>1</v>
      </c>
      <c r="R2" s="7">
        <f>SUMIF(Game_Data[Player],$A2,Game_Data[FO])</f>
        <v>14</v>
      </c>
      <c r="S2" s="8">
        <f t="shared" ref="S2:S17" si="2">Q2+R2</f>
        <v>15</v>
      </c>
      <c r="T2" s="8">
        <f>SUMIF(Game_Data[Player],$A2,Game_Data[R])</f>
        <v>42</v>
      </c>
      <c r="U2" s="8">
        <f>SUMIF(Game_Data[Player],$A2,Game_Data[RBI])</f>
        <v>43</v>
      </c>
      <c r="V2" s="9">
        <f t="shared" ref="V2:V17" si="3">IFERROR(E2/D2,0)</f>
        <v>0.7662337662</v>
      </c>
      <c r="W2" s="10">
        <f t="shared" ref="W2:W17" si="4">IFERROR((E2+L2)/C2,0)</f>
        <v>0.7441860465</v>
      </c>
      <c r="X2" s="10">
        <f t="shared" ref="X2:X17" si="5">IFERROR(P2/D2,0)</f>
        <v>1.116883117</v>
      </c>
      <c r="Y2" s="10">
        <f t="shared" ref="Y2:Y17" si="6">W2+X2</f>
        <v>1.861069163</v>
      </c>
    </row>
    <row r="3" ht="22.5" customHeight="1">
      <c r="A3" s="5" t="s">
        <v>26</v>
      </c>
      <c r="B3" s="6">
        <f>COUNTIF(Game_Data[Player],$A3)</f>
        <v>31</v>
      </c>
      <c r="C3" s="6">
        <f>SUMIF(Game_Data[Player],$A3,Game_Data[PA])</f>
        <v>134</v>
      </c>
      <c r="D3" s="6">
        <f>SUMIF(Game_Data[Player],$A3,Game_Data[AB])</f>
        <v>119</v>
      </c>
      <c r="E3" s="6">
        <f>SUMIF(Game_Data[Player],$A3,Game_Data[H])</f>
        <v>88</v>
      </c>
      <c r="F3" s="7">
        <f>SUMIF(Game_Data[Player],$A3,Game_Data[1B])</f>
        <v>44</v>
      </c>
      <c r="G3" s="7">
        <f>SUMIF(Game_Data[Player],$A3,Game_Data[2B])</f>
        <v>28</v>
      </c>
      <c r="H3" s="7">
        <f>SUMIF(Game_Data[Player],$A3,Game_Data[3B])</f>
        <v>5</v>
      </c>
      <c r="I3" s="7">
        <f>SUMIF(Game_Data[Player],$A3,Game_Data[4B])</f>
        <v>8</v>
      </c>
      <c r="J3" s="7">
        <f>SUMIF(Game_Data[Player],$A3,Game_Data[HR])</f>
        <v>3</v>
      </c>
      <c r="K3" s="7">
        <f>SUMIF(Game_Data[Player],$A3,Game_Data[FC])</f>
        <v>8</v>
      </c>
      <c r="L3" s="7">
        <f>SUMIF(Game_Data[Player],$A3,Game_Data[BB])</f>
        <v>10</v>
      </c>
      <c r="M3" s="7">
        <f>SUMIF(Game_Data[Player],$A3,Game_Data[SF])</f>
        <v>5</v>
      </c>
      <c r="N3" s="7">
        <f>SUMIF(Game_Data[Player],$A3,Game_Data[K])</f>
        <v>0</v>
      </c>
      <c r="O3" s="7">
        <f>SUMIF(Game_Data[Player],$A3,Game_Data[KF])</f>
        <v>1</v>
      </c>
      <c r="P3" s="7">
        <f t="shared" si="1"/>
        <v>159</v>
      </c>
      <c r="Q3" s="8">
        <f>SUMIF(Game_Data[Player],$A3,Game_Data[GO])</f>
        <v>6</v>
      </c>
      <c r="R3" s="8">
        <f>SUMIF(Game_Data[Player],$A3,Game_Data[FO])</f>
        <v>16</v>
      </c>
      <c r="S3" s="8">
        <f t="shared" si="2"/>
        <v>22</v>
      </c>
      <c r="T3" s="8">
        <f>SUMIF(Game_Data[Player],$A3,Game_Data[R])</f>
        <v>78</v>
      </c>
      <c r="U3" s="8">
        <f>SUMIF(Game_Data[Player],$A3,Game_Data[RBI])</f>
        <v>62</v>
      </c>
      <c r="V3" s="9">
        <f t="shared" si="3"/>
        <v>0.7394957983</v>
      </c>
      <c r="W3" s="10">
        <f t="shared" si="4"/>
        <v>0.7313432836</v>
      </c>
      <c r="X3" s="10">
        <f t="shared" si="5"/>
        <v>1.336134454</v>
      </c>
      <c r="Y3" s="10">
        <f t="shared" si="6"/>
        <v>2.067477737</v>
      </c>
    </row>
    <row r="4" ht="22.5" customHeight="1">
      <c r="A4" s="5" t="s">
        <v>27</v>
      </c>
      <c r="B4" s="6">
        <f>COUNTIF(Game_Data[Player],$A4)</f>
        <v>26</v>
      </c>
      <c r="C4" s="6">
        <f>SUMIF(Game_Data[Player],$A4,Game_Data[PA])</f>
        <v>105</v>
      </c>
      <c r="D4" s="6">
        <f>SUMIF(Game_Data[Player],$A4,Game_Data[AB])</f>
        <v>94</v>
      </c>
      <c r="E4" s="6">
        <f>SUMIF(Game_Data[Player],$A4,Game_Data[H])</f>
        <v>59</v>
      </c>
      <c r="F4" s="7">
        <f>SUMIF(Game_Data[Player],$A4,Game_Data[1B])</f>
        <v>42</v>
      </c>
      <c r="G4" s="7">
        <f>SUMIF(Game_Data[Player],$A4,Game_Data[2B])</f>
        <v>13</v>
      </c>
      <c r="H4" s="7">
        <f>SUMIF(Game_Data[Player],$A4,Game_Data[3B])</f>
        <v>1</v>
      </c>
      <c r="I4" s="7">
        <f>SUMIF(Game_Data[Player],$A4,Game_Data[4B])</f>
        <v>0</v>
      </c>
      <c r="J4" s="7">
        <f>SUMIF(Game_Data[Player],$A4,Game_Data[HR])</f>
        <v>3</v>
      </c>
      <c r="K4" s="7">
        <f>SUMIF(Game_Data[Player],$A4,Game_Data[FC])</f>
        <v>1</v>
      </c>
      <c r="L4" s="7">
        <f>SUMIF(Game_Data[Player],$A4,Game_Data[BB])</f>
        <v>7</v>
      </c>
      <c r="M4" s="7">
        <f>SUMIF(Game_Data[Player],$A4,Game_Data[SF])</f>
        <v>4</v>
      </c>
      <c r="N4" s="7">
        <f>SUMIF(Game_Data[Player],$A4,Game_Data[K])</f>
        <v>0</v>
      </c>
      <c r="O4" s="7">
        <f>SUMIF(Game_Data[Player],$A4,Game_Data[KF])</f>
        <v>0</v>
      </c>
      <c r="P4" s="7">
        <f t="shared" si="1"/>
        <v>83</v>
      </c>
      <c r="Q4" s="8">
        <f>SUMIF(Game_Data[Player],$A4,Game_Data[GO])</f>
        <v>4</v>
      </c>
      <c r="R4" s="8">
        <f>SUMIF(Game_Data[Player],$A4,Game_Data[FO])</f>
        <v>30</v>
      </c>
      <c r="S4" s="8">
        <f t="shared" si="2"/>
        <v>34</v>
      </c>
      <c r="T4" s="8">
        <f>SUMIF(Game_Data[Player],$A4,Game_Data[R])</f>
        <v>40</v>
      </c>
      <c r="U4" s="8">
        <f>SUMIF(Game_Data[Player],$A4,Game_Data[RBI])</f>
        <v>39</v>
      </c>
      <c r="V4" s="9">
        <f t="shared" si="3"/>
        <v>0.6276595745</v>
      </c>
      <c r="W4" s="10">
        <f t="shared" si="4"/>
        <v>0.6285714286</v>
      </c>
      <c r="X4" s="10">
        <f t="shared" si="5"/>
        <v>0.8829787234</v>
      </c>
      <c r="Y4" s="10">
        <f t="shared" si="6"/>
        <v>1.511550152</v>
      </c>
    </row>
    <row r="5" ht="22.5" customHeight="1">
      <c r="A5" s="5" t="s">
        <v>28</v>
      </c>
      <c r="B5" s="6">
        <f>COUNTIF(Game_Data[Player],$A5)</f>
        <v>30</v>
      </c>
      <c r="C5" s="6">
        <f>SUMIF(Game_Data[Player],$A5,Game_Data[PA])</f>
        <v>123</v>
      </c>
      <c r="D5" s="6">
        <f>SUMIF(Game_Data[Player],$A5,Game_Data[AB])</f>
        <v>115</v>
      </c>
      <c r="E5" s="6">
        <f>SUMIF(Game_Data[Player],$A5,Game_Data[H])</f>
        <v>72</v>
      </c>
      <c r="F5" s="7">
        <f>SUMIF(Game_Data[Player],$A5,Game_Data[1B])</f>
        <v>51</v>
      </c>
      <c r="G5" s="7">
        <f>SUMIF(Game_Data[Player],$A5,Game_Data[2B])</f>
        <v>14</v>
      </c>
      <c r="H5" s="7">
        <f>SUMIF(Game_Data[Player],$A5,Game_Data[3B])</f>
        <v>6</v>
      </c>
      <c r="I5" s="7">
        <f>SUMIF(Game_Data[Player],$A5,Game_Data[4B])</f>
        <v>1</v>
      </c>
      <c r="J5" s="7">
        <f>SUMIF(Game_Data[Player],$A5,Game_Data[HR])</f>
        <v>0</v>
      </c>
      <c r="K5" s="7">
        <f>SUMIF(Game_Data[Player],$A5,Game_Data[FC])</f>
        <v>4</v>
      </c>
      <c r="L5" s="7">
        <f>SUMIF(Game_Data[Player],$A5,Game_Data[BB])</f>
        <v>7</v>
      </c>
      <c r="M5" s="7">
        <f>SUMIF(Game_Data[Player],$A5,Game_Data[SF])</f>
        <v>1</v>
      </c>
      <c r="N5" s="7">
        <f>SUMIF(Game_Data[Player],$A5,Game_Data[K])</f>
        <v>1</v>
      </c>
      <c r="O5" s="7">
        <f>SUMIF(Game_Data[Player],$A5,Game_Data[KF])</f>
        <v>0</v>
      </c>
      <c r="P5" s="7">
        <f t="shared" si="1"/>
        <v>101</v>
      </c>
      <c r="Q5" s="8">
        <f>SUMIF(Game_Data[Player],$A5,Game_Data[GO])</f>
        <v>5</v>
      </c>
      <c r="R5" s="8">
        <f>SUMIF(Game_Data[Player],$A5,Game_Data[FO])</f>
        <v>33</v>
      </c>
      <c r="S5" s="8">
        <f t="shared" si="2"/>
        <v>38</v>
      </c>
      <c r="T5" s="8">
        <f>SUMIF(Game_Data[Player],$A5,Game_Data[R])</f>
        <v>59</v>
      </c>
      <c r="U5" s="8">
        <f>SUMIF(Game_Data[Player],$A5,Game_Data[RBI])</f>
        <v>36</v>
      </c>
      <c r="V5" s="9">
        <f t="shared" si="3"/>
        <v>0.6260869565</v>
      </c>
      <c r="W5" s="10">
        <f t="shared" si="4"/>
        <v>0.6422764228</v>
      </c>
      <c r="X5" s="10">
        <f t="shared" si="5"/>
        <v>0.8782608696</v>
      </c>
      <c r="Y5" s="10">
        <f t="shared" si="6"/>
        <v>1.520537292</v>
      </c>
    </row>
    <row r="6" ht="22.5" customHeight="1">
      <c r="A6" s="5" t="s">
        <v>29</v>
      </c>
      <c r="B6" s="6">
        <f>COUNTIF(Game_Data[Player],$A6)</f>
        <v>33</v>
      </c>
      <c r="C6" s="6">
        <f>SUMIF(Game_Data[Player],$A6,Game_Data[PA])</f>
        <v>126</v>
      </c>
      <c r="D6" s="6">
        <f>SUMIF(Game_Data[Player],$A6,Game_Data[AB])</f>
        <v>114</v>
      </c>
      <c r="E6" s="6">
        <f>SUMIF(Game_Data[Player],$A6,Game_Data[H])</f>
        <v>70</v>
      </c>
      <c r="F6" s="7">
        <f>SUMIF(Game_Data[Player],$A6,Game_Data[1B])</f>
        <v>57</v>
      </c>
      <c r="G6" s="7">
        <f>SUMIF(Game_Data[Player],$A6,Game_Data[2B])</f>
        <v>10</v>
      </c>
      <c r="H6" s="7">
        <f>SUMIF(Game_Data[Player],$A6,Game_Data[3B])</f>
        <v>3</v>
      </c>
      <c r="I6" s="7">
        <f>SUMIF(Game_Data[Player],$A6,Game_Data[4B])</f>
        <v>0</v>
      </c>
      <c r="J6" s="7">
        <f>SUMIF(Game_Data[Player],$A6,Game_Data[HR])</f>
        <v>0</v>
      </c>
      <c r="K6" s="7">
        <f>SUMIF(Game_Data[Player],$A6,Game_Data[FC])</f>
        <v>5</v>
      </c>
      <c r="L6" s="7">
        <f>SUMIF(Game_Data[Player],$A6,Game_Data[BB])</f>
        <v>9</v>
      </c>
      <c r="M6" s="7">
        <f>SUMIF(Game_Data[Player],$A6,Game_Data[SF])</f>
        <v>3</v>
      </c>
      <c r="N6" s="7">
        <f>SUMIF(Game_Data[Player],$A6,Game_Data[K])</f>
        <v>1</v>
      </c>
      <c r="O6" s="7">
        <f>SUMIF(Game_Data[Player],$A6,Game_Data[KF])</f>
        <v>1</v>
      </c>
      <c r="P6" s="7">
        <f t="shared" si="1"/>
        <v>86</v>
      </c>
      <c r="Q6" s="8">
        <f>SUMIF(Game_Data[Player],$A6,Game_Data[GO])</f>
        <v>4</v>
      </c>
      <c r="R6" s="8">
        <f>SUMIF(Game_Data[Player],$A6,Game_Data[FO])</f>
        <v>33</v>
      </c>
      <c r="S6" s="8">
        <f t="shared" si="2"/>
        <v>37</v>
      </c>
      <c r="T6" s="8">
        <f>SUMIF(Game_Data[Player],$A6,Game_Data[R])</f>
        <v>33</v>
      </c>
      <c r="U6" s="8">
        <f>SUMIF(Game_Data[Player],$A6,Game_Data[RBI])</f>
        <v>28</v>
      </c>
      <c r="V6" s="9">
        <f t="shared" si="3"/>
        <v>0.6140350877</v>
      </c>
      <c r="W6" s="10">
        <f t="shared" si="4"/>
        <v>0.626984127</v>
      </c>
      <c r="X6" s="10">
        <f t="shared" si="5"/>
        <v>0.7543859649</v>
      </c>
      <c r="Y6" s="10">
        <f t="shared" si="6"/>
        <v>1.381370092</v>
      </c>
    </row>
    <row r="7" ht="22.5" customHeight="1">
      <c r="A7" s="5" t="s">
        <v>30</v>
      </c>
      <c r="B7" s="6">
        <f>COUNTIF(Game_Data[Player],$A7)</f>
        <v>31</v>
      </c>
      <c r="C7" s="6">
        <f>SUMIF(Game_Data[Player],$A7,Game_Data[PA])</f>
        <v>131</v>
      </c>
      <c r="D7" s="6">
        <f>SUMIF(Game_Data[Player],$A7,Game_Data[AB])</f>
        <v>116</v>
      </c>
      <c r="E7" s="6">
        <f>SUMIF(Game_Data[Player],$A7,Game_Data[H])</f>
        <v>71</v>
      </c>
      <c r="F7" s="7">
        <f>SUMIF(Game_Data[Player],$A7,Game_Data[1B])</f>
        <v>40</v>
      </c>
      <c r="G7" s="7">
        <f>SUMIF(Game_Data[Player],$A7,Game_Data[2B])</f>
        <v>12</v>
      </c>
      <c r="H7" s="7">
        <f>SUMIF(Game_Data[Player],$A7,Game_Data[3B])</f>
        <v>1</v>
      </c>
      <c r="I7" s="7">
        <f>SUMIF(Game_Data[Player],$A7,Game_Data[4B])</f>
        <v>0</v>
      </c>
      <c r="J7" s="7">
        <f>SUMIF(Game_Data[Player],$A7,Game_Data[HR])</f>
        <v>18</v>
      </c>
      <c r="K7" s="7">
        <f>SUMIF(Game_Data[Player],$A7,Game_Data[FC])</f>
        <v>2</v>
      </c>
      <c r="L7" s="7">
        <f>SUMIF(Game_Data[Player],$A7,Game_Data[BB])</f>
        <v>9</v>
      </c>
      <c r="M7" s="7">
        <f>SUMIF(Game_Data[Player],$A7,Game_Data[SF])</f>
        <v>6</v>
      </c>
      <c r="N7" s="7">
        <f>SUMIF(Game_Data[Player],$A7,Game_Data[K])</f>
        <v>1</v>
      </c>
      <c r="O7" s="7">
        <f>SUMIF(Game_Data[Player],$A7,Game_Data[KF])</f>
        <v>4</v>
      </c>
      <c r="P7" s="7">
        <f t="shared" si="1"/>
        <v>139</v>
      </c>
      <c r="Q7" s="11">
        <f>SUMIF(Game_Data[Player],$A7,Game_Data[GO])</f>
        <v>1</v>
      </c>
      <c r="R7" s="11">
        <f>SUMIF(Game_Data[Player],$A7,Game_Data[FO])</f>
        <v>37</v>
      </c>
      <c r="S7" s="11">
        <f t="shared" si="2"/>
        <v>38</v>
      </c>
      <c r="T7" s="11">
        <f>SUMIF(Game_Data[Player],$A7,Game_Data[R])</f>
        <v>43</v>
      </c>
      <c r="U7" s="11">
        <f>SUMIF(Game_Data[Player],$A7,Game_Data[RBI])</f>
        <v>75</v>
      </c>
      <c r="V7" s="9">
        <f t="shared" si="3"/>
        <v>0.6120689655</v>
      </c>
      <c r="W7" s="10">
        <f t="shared" si="4"/>
        <v>0.6106870229</v>
      </c>
      <c r="X7" s="10">
        <f t="shared" si="5"/>
        <v>1.198275862</v>
      </c>
      <c r="Y7" s="10">
        <f t="shared" si="6"/>
        <v>1.808962885</v>
      </c>
    </row>
    <row r="8" ht="22.5" customHeight="1">
      <c r="A8" s="5" t="s">
        <v>31</v>
      </c>
      <c r="B8" s="6">
        <f>COUNTIF(Game_Data[Player],$A8)</f>
        <v>8</v>
      </c>
      <c r="C8" s="6">
        <f>SUMIF(Game_Data[Player],$A8,Game_Data[PA])</f>
        <v>28</v>
      </c>
      <c r="D8" s="6">
        <f>SUMIF(Game_Data[Player],$A8,Game_Data[AB])</f>
        <v>28</v>
      </c>
      <c r="E8" s="6">
        <f>SUMIF(Game_Data[Player],$A8,Game_Data[H])</f>
        <v>17</v>
      </c>
      <c r="F8" s="7">
        <f>SUMIF(Game_Data[Player],$A8,Game_Data[1B])</f>
        <v>11</v>
      </c>
      <c r="G8" s="7">
        <f>SUMIF(Game_Data[Player],$A8,Game_Data[2B])</f>
        <v>4</v>
      </c>
      <c r="H8" s="7">
        <f>SUMIF(Game_Data[Player],$A8,Game_Data[3B])</f>
        <v>2</v>
      </c>
      <c r="I8" s="7">
        <f>SUMIF(Game_Data[Player],$A8,Game_Data[4B])</f>
        <v>0</v>
      </c>
      <c r="J8" s="7">
        <f>SUMIF(Game_Data[Player],$A8,Game_Data[HR])</f>
        <v>0</v>
      </c>
      <c r="K8" s="7">
        <f>SUMIF(Game_Data[Player],$A8,Game_Data[FC])</f>
        <v>0</v>
      </c>
      <c r="L8" s="7">
        <f>SUMIF(Game_Data[Player],$A8,Game_Data[BB])</f>
        <v>0</v>
      </c>
      <c r="M8" s="7">
        <f>SUMIF(Game_Data[Player],$A8,Game_Data[SF])</f>
        <v>0</v>
      </c>
      <c r="N8" s="7">
        <f>SUMIF(Game_Data[Player],$A8,Game_Data[K])</f>
        <v>0</v>
      </c>
      <c r="O8" s="7">
        <f>SUMIF(Game_Data[Player],$A8,Game_Data[KF])</f>
        <v>0</v>
      </c>
      <c r="P8" s="7">
        <f t="shared" si="1"/>
        <v>25</v>
      </c>
      <c r="Q8" s="8">
        <f>SUMIF(Game_Data[Player],$A8,Game_Data[GO])</f>
        <v>0</v>
      </c>
      <c r="R8" s="8">
        <f>SUMIF(Game_Data[Player],$A8,Game_Data[FO])</f>
        <v>11</v>
      </c>
      <c r="S8" s="8">
        <f t="shared" si="2"/>
        <v>11</v>
      </c>
      <c r="T8" s="8">
        <f>SUMIF(Game_Data[Player],$A8,Game_Data[R])</f>
        <v>9</v>
      </c>
      <c r="U8" s="8">
        <f>SUMIF(Game_Data[Player],$A8,Game_Data[RBI])</f>
        <v>8</v>
      </c>
      <c r="V8" s="9">
        <f t="shared" si="3"/>
        <v>0.6071428571</v>
      </c>
      <c r="W8" s="10">
        <f t="shared" si="4"/>
        <v>0.6071428571</v>
      </c>
      <c r="X8" s="10">
        <f t="shared" si="5"/>
        <v>0.8928571429</v>
      </c>
      <c r="Y8" s="10">
        <f t="shared" si="6"/>
        <v>1.5</v>
      </c>
    </row>
    <row r="9" ht="22.5" customHeight="1">
      <c r="A9" s="5" t="s">
        <v>32</v>
      </c>
      <c r="B9" s="6">
        <f>COUNTIF(Game_Data[Player],$A9)</f>
        <v>23</v>
      </c>
      <c r="C9" s="6">
        <f>SUMIF(Game_Data[Player],$A9,Game_Data[PA])</f>
        <v>92</v>
      </c>
      <c r="D9" s="6">
        <f>SUMIF(Game_Data[Player],$A9,Game_Data[AB])</f>
        <v>85</v>
      </c>
      <c r="E9" s="6">
        <f>SUMIF(Game_Data[Player],$A9,Game_Data[H])</f>
        <v>51</v>
      </c>
      <c r="F9" s="7">
        <f>SUMIF(Game_Data[Player],$A9,Game_Data[1B])</f>
        <v>32</v>
      </c>
      <c r="G9" s="7">
        <f>SUMIF(Game_Data[Player],$A9,Game_Data[2B])</f>
        <v>12</v>
      </c>
      <c r="H9" s="7">
        <f>SUMIF(Game_Data[Player],$A9,Game_Data[3B])</f>
        <v>4</v>
      </c>
      <c r="I9" s="7">
        <f>SUMIF(Game_Data[Player],$A9,Game_Data[4B])</f>
        <v>0</v>
      </c>
      <c r="J9" s="7">
        <f>SUMIF(Game_Data[Player],$A9,Game_Data[HR])</f>
        <v>3</v>
      </c>
      <c r="K9" s="7">
        <f>SUMIF(Game_Data[Player],$A9,Game_Data[FC])</f>
        <v>3</v>
      </c>
      <c r="L9" s="7">
        <f>SUMIF(Game_Data[Player],$A9,Game_Data[BB])</f>
        <v>4</v>
      </c>
      <c r="M9" s="7">
        <f>SUMIF(Game_Data[Player],$A9,Game_Data[SF])</f>
        <v>3</v>
      </c>
      <c r="N9" s="7">
        <f>SUMIF(Game_Data[Player],$A9,Game_Data[K])</f>
        <v>0</v>
      </c>
      <c r="O9" s="7">
        <f>SUMIF(Game_Data[Player],$A9,Game_Data[KF])</f>
        <v>0</v>
      </c>
      <c r="P9" s="7">
        <f t="shared" si="1"/>
        <v>80</v>
      </c>
      <c r="Q9" s="8">
        <f>SUMIF(Game_Data[Player],$A9,Game_Data[GO])</f>
        <v>2</v>
      </c>
      <c r="R9" s="8">
        <f>SUMIF(Game_Data[Player],$A9,Game_Data[FO])</f>
        <v>29</v>
      </c>
      <c r="S9" s="8">
        <f t="shared" si="2"/>
        <v>31</v>
      </c>
      <c r="T9" s="8">
        <f>SUMIF(Game_Data[Player],$A9,Game_Data[R])</f>
        <v>38</v>
      </c>
      <c r="U9" s="8">
        <f>SUMIF(Game_Data[Player],$A9,Game_Data[RBI])</f>
        <v>44</v>
      </c>
      <c r="V9" s="9">
        <f t="shared" si="3"/>
        <v>0.6</v>
      </c>
      <c r="W9" s="10">
        <f t="shared" si="4"/>
        <v>0.597826087</v>
      </c>
      <c r="X9" s="10">
        <f t="shared" si="5"/>
        <v>0.9411764706</v>
      </c>
      <c r="Y9" s="10">
        <f t="shared" si="6"/>
        <v>1.539002558</v>
      </c>
    </row>
    <row r="10" ht="22.5" customHeight="1">
      <c r="A10" s="5" t="s">
        <v>33</v>
      </c>
      <c r="B10" s="6">
        <f>COUNTIF(Game_Data[Player],$A10)</f>
        <v>31</v>
      </c>
      <c r="C10" s="6">
        <f>SUMIF(Game_Data[Player],$A10,Game_Data[PA])</f>
        <v>128</v>
      </c>
      <c r="D10" s="6">
        <f>SUMIF(Game_Data[Player],$A10,Game_Data[AB])</f>
        <v>117</v>
      </c>
      <c r="E10" s="6">
        <f>SUMIF(Game_Data[Player],$A10,Game_Data[H])</f>
        <v>70</v>
      </c>
      <c r="F10" s="7">
        <f>SUMIF(Game_Data[Player],$A10,Game_Data[1B])</f>
        <v>45</v>
      </c>
      <c r="G10" s="7">
        <f>SUMIF(Game_Data[Player],$A10,Game_Data[2B])</f>
        <v>19</v>
      </c>
      <c r="H10" s="7">
        <f>SUMIF(Game_Data[Player],$A10,Game_Data[3B])</f>
        <v>3</v>
      </c>
      <c r="I10" s="7">
        <f>SUMIF(Game_Data[Player],$A10,Game_Data[4B])</f>
        <v>0</v>
      </c>
      <c r="J10" s="7">
        <f>SUMIF(Game_Data[Player],$A10,Game_Data[HR])</f>
        <v>3</v>
      </c>
      <c r="K10" s="7">
        <f>SUMIF(Game_Data[Player],$A10,Game_Data[FC])</f>
        <v>4</v>
      </c>
      <c r="L10" s="7">
        <f>SUMIF(Game_Data[Player],$A10,Game_Data[BB])</f>
        <v>3</v>
      </c>
      <c r="M10" s="7">
        <f>SUMIF(Game_Data[Player],$A10,Game_Data[SF])</f>
        <v>8</v>
      </c>
      <c r="N10" s="7">
        <f>SUMIF(Game_Data[Player],$A10,Game_Data[K])</f>
        <v>0</v>
      </c>
      <c r="O10" s="7">
        <f>SUMIF(Game_Data[Player],$A10,Game_Data[KF])</f>
        <v>0</v>
      </c>
      <c r="P10" s="7">
        <f t="shared" si="1"/>
        <v>104</v>
      </c>
      <c r="Q10" s="8">
        <f>SUMIF(Game_Data[Player],$A10,Game_Data[GO])</f>
        <v>1</v>
      </c>
      <c r="R10" s="8">
        <f>SUMIF(Game_Data[Player],$A10,Game_Data[FO])</f>
        <v>42</v>
      </c>
      <c r="S10" s="8">
        <f t="shared" si="2"/>
        <v>43</v>
      </c>
      <c r="T10" s="8">
        <f>SUMIF(Game_Data[Player],$A10,Game_Data[R])</f>
        <v>51</v>
      </c>
      <c r="U10" s="8">
        <f>SUMIF(Game_Data[Player],$A10,Game_Data[RBI])</f>
        <v>51</v>
      </c>
      <c r="V10" s="9">
        <f t="shared" si="3"/>
        <v>0.5982905983</v>
      </c>
      <c r="W10" s="10">
        <f t="shared" si="4"/>
        <v>0.5703125</v>
      </c>
      <c r="X10" s="10">
        <f t="shared" si="5"/>
        <v>0.8888888889</v>
      </c>
      <c r="Y10" s="10">
        <f t="shared" si="6"/>
        <v>1.459201389</v>
      </c>
    </row>
    <row r="11" ht="22.5" customHeight="1">
      <c r="A11" s="5" t="s">
        <v>34</v>
      </c>
      <c r="B11" s="6">
        <f>COUNTIF(Game_Data[Player],$A11)</f>
        <v>26</v>
      </c>
      <c r="C11" s="6">
        <f>SUMIF(Game_Data[Player],$A11,Game_Data[PA])</f>
        <v>95</v>
      </c>
      <c r="D11" s="6">
        <f>SUMIF(Game_Data[Player],$A11,Game_Data[AB])</f>
        <v>94</v>
      </c>
      <c r="E11" s="6">
        <f>SUMIF(Game_Data[Player],$A11,Game_Data[H])</f>
        <v>56</v>
      </c>
      <c r="F11" s="7">
        <f>SUMIF(Game_Data[Player],$A11,Game_Data[1B])</f>
        <v>47</v>
      </c>
      <c r="G11" s="7">
        <f>SUMIF(Game_Data[Player],$A11,Game_Data[2B])</f>
        <v>6</v>
      </c>
      <c r="H11" s="7">
        <f>SUMIF(Game_Data[Player],$A11,Game_Data[3B])</f>
        <v>3</v>
      </c>
      <c r="I11" s="7">
        <f>SUMIF(Game_Data[Player],$A11,Game_Data[4B])</f>
        <v>0</v>
      </c>
      <c r="J11" s="7">
        <f>SUMIF(Game_Data[Player],$A11,Game_Data[HR])</f>
        <v>0</v>
      </c>
      <c r="K11" s="7">
        <f>SUMIF(Game_Data[Player],$A11,Game_Data[FC])</f>
        <v>7</v>
      </c>
      <c r="L11" s="7">
        <f>SUMIF(Game_Data[Player],$A11,Game_Data[BB])</f>
        <v>0</v>
      </c>
      <c r="M11" s="7">
        <f>SUMIF(Game_Data[Player],$A11,Game_Data[SF])</f>
        <v>1</v>
      </c>
      <c r="N11" s="7">
        <f>SUMIF(Game_Data[Player],$A11,Game_Data[K])</f>
        <v>0</v>
      </c>
      <c r="O11" s="7">
        <f>SUMIF(Game_Data[Player],$A11,Game_Data[KF])</f>
        <v>0</v>
      </c>
      <c r="P11" s="7">
        <f t="shared" si="1"/>
        <v>68</v>
      </c>
      <c r="Q11" s="8">
        <f>SUMIF(Game_Data[Player],$A11,Game_Data[GO])</f>
        <v>9</v>
      </c>
      <c r="R11" s="8">
        <f>SUMIF(Game_Data[Player],$A11,Game_Data[FO])</f>
        <v>22</v>
      </c>
      <c r="S11" s="8">
        <f t="shared" si="2"/>
        <v>31</v>
      </c>
      <c r="T11" s="8">
        <f>SUMIF(Game_Data[Player],$A11,Game_Data[R])</f>
        <v>26</v>
      </c>
      <c r="U11" s="8">
        <f>SUMIF(Game_Data[Player],$A11,Game_Data[RBI])</f>
        <v>33</v>
      </c>
      <c r="V11" s="9">
        <f t="shared" si="3"/>
        <v>0.5957446809</v>
      </c>
      <c r="W11" s="10">
        <f t="shared" si="4"/>
        <v>0.5894736842</v>
      </c>
      <c r="X11" s="10">
        <f t="shared" si="5"/>
        <v>0.7234042553</v>
      </c>
      <c r="Y11" s="10">
        <f t="shared" si="6"/>
        <v>1.31287794</v>
      </c>
    </row>
    <row r="12" ht="22.5" customHeight="1">
      <c r="A12" s="5" t="s">
        <v>35</v>
      </c>
      <c r="B12" s="6">
        <f>COUNTIF(Game_Data[Player],$A12)</f>
        <v>22</v>
      </c>
      <c r="C12" s="6">
        <f>SUMIF(Game_Data[Player],$A12,Game_Data[PA])</f>
        <v>82</v>
      </c>
      <c r="D12" s="6">
        <f>SUMIF(Game_Data[Player],$A12,Game_Data[AB])</f>
        <v>79</v>
      </c>
      <c r="E12" s="6">
        <f>SUMIF(Game_Data[Player],$A12,Game_Data[H])</f>
        <v>43</v>
      </c>
      <c r="F12" s="7">
        <f>SUMIF(Game_Data[Player],$A12,Game_Data[1B])</f>
        <v>31</v>
      </c>
      <c r="G12" s="7">
        <f>SUMIF(Game_Data[Player],$A12,Game_Data[2B])</f>
        <v>9</v>
      </c>
      <c r="H12" s="7">
        <f>SUMIF(Game_Data[Player],$A12,Game_Data[3B])</f>
        <v>2</v>
      </c>
      <c r="I12" s="7">
        <f>SUMIF(Game_Data[Player],$A12,Game_Data[4B])</f>
        <v>0</v>
      </c>
      <c r="J12" s="7">
        <f>SUMIF(Game_Data[Player],$A12,Game_Data[HR])</f>
        <v>1</v>
      </c>
      <c r="K12" s="7">
        <f>SUMIF(Game_Data[Player],$A12,Game_Data[FC])</f>
        <v>3</v>
      </c>
      <c r="L12" s="7">
        <f>SUMIF(Game_Data[Player],$A12,Game_Data[BB])</f>
        <v>0</v>
      </c>
      <c r="M12" s="7">
        <f>SUMIF(Game_Data[Player],$A12,Game_Data[SF])</f>
        <v>3</v>
      </c>
      <c r="N12" s="7">
        <f>SUMIF(Game_Data[Player],$A12,Game_Data[K])</f>
        <v>0</v>
      </c>
      <c r="O12" s="7">
        <f>SUMIF(Game_Data[Player],$A12,Game_Data[KF])</f>
        <v>1</v>
      </c>
      <c r="P12" s="7">
        <f t="shared" si="1"/>
        <v>59</v>
      </c>
      <c r="Q12" s="8">
        <f>SUMIF(Game_Data[Player],$A12,Game_Data[GO])</f>
        <v>2</v>
      </c>
      <c r="R12" s="8">
        <f>SUMIF(Game_Data[Player],$A12,Game_Data[FO])</f>
        <v>30</v>
      </c>
      <c r="S12" s="8">
        <f t="shared" si="2"/>
        <v>32</v>
      </c>
      <c r="T12" s="8">
        <f>SUMIF(Game_Data[Player],$A12,Game_Data[R])</f>
        <v>28</v>
      </c>
      <c r="U12" s="8">
        <f>SUMIF(Game_Data[Player],$A12,Game_Data[RBI])</f>
        <v>34</v>
      </c>
      <c r="V12" s="9">
        <f t="shared" si="3"/>
        <v>0.5443037975</v>
      </c>
      <c r="W12" s="10">
        <f t="shared" si="4"/>
        <v>0.5243902439</v>
      </c>
      <c r="X12" s="10">
        <f t="shared" si="5"/>
        <v>0.746835443</v>
      </c>
      <c r="Y12" s="10">
        <f t="shared" si="6"/>
        <v>1.271225687</v>
      </c>
    </row>
    <row r="13" ht="22.5" customHeight="1">
      <c r="A13" s="5" t="s">
        <v>36</v>
      </c>
      <c r="B13" s="6">
        <f>COUNTIF(Game_Data[Player],$A13)</f>
        <v>37</v>
      </c>
      <c r="C13" s="6">
        <f>SUMIF(Game_Data[Player],$A13,Game_Data[PA])</f>
        <v>137</v>
      </c>
      <c r="D13" s="6">
        <f>SUMIF(Game_Data[Player],$A13,Game_Data[AB])</f>
        <v>131</v>
      </c>
      <c r="E13" s="6">
        <f>SUMIF(Game_Data[Player],$A13,Game_Data[H])</f>
        <v>63</v>
      </c>
      <c r="F13" s="6">
        <f>SUMIF(Game_Data[Player],$A13,Game_Data[1B])</f>
        <v>50</v>
      </c>
      <c r="G13" s="6">
        <f>SUMIF(Game_Data[Player],$A13,Game_Data[2B])</f>
        <v>11</v>
      </c>
      <c r="H13" s="6">
        <f>SUMIF(Game_Data[Player],$A13,Game_Data[3B])</f>
        <v>2</v>
      </c>
      <c r="I13" s="6">
        <f>SUMIF(Game_Data[Player],$A13,Game_Data[4B])</f>
        <v>0</v>
      </c>
      <c r="J13" s="6">
        <f>SUMIF(Game_Data[Player],$A13,Game_Data[HR])</f>
        <v>0</v>
      </c>
      <c r="K13" s="7">
        <f>SUMIF(Game_Data[Player],$A13,Game_Data[FC])</f>
        <v>16</v>
      </c>
      <c r="L13" s="6">
        <f>SUMIF(Game_Data[Player],$A13,Game_Data[BB])</f>
        <v>3</v>
      </c>
      <c r="M13" s="7">
        <f>SUMIF(Game_Data[Player],$A13,Game_Data[SF])</f>
        <v>3</v>
      </c>
      <c r="N13" s="6">
        <f>SUMIF(Game_Data[Player],$A13,Game_Data[K])</f>
        <v>0</v>
      </c>
      <c r="O13" s="6">
        <f>SUMIF(Game_Data[Player],$A13,Game_Data[KF])</f>
        <v>0</v>
      </c>
      <c r="P13" s="6">
        <f t="shared" si="1"/>
        <v>78</v>
      </c>
      <c r="Q13" s="8">
        <f>SUMIF(Game_Data[Player],$A13,Game_Data[GO])</f>
        <v>5</v>
      </c>
      <c r="R13" s="8">
        <f>SUMIF(Game_Data[Player],$A13,Game_Data[FO])</f>
        <v>47</v>
      </c>
      <c r="S13" s="8">
        <f t="shared" si="2"/>
        <v>52</v>
      </c>
      <c r="T13" s="8">
        <f>SUMIF(Game_Data[Player],$A13,Game_Data[R])</f>
        <v>38</v>
      </c>
      <c r="U13" s="8">
        <f>SUMIF(Game_Data[Player],$A13,Game_Data[RBI])</f>
        <v>43</v>
      </c>
      <c r="V13" s="9">
        <f t="shared" si="3"/>
        <v>0.4809160305</v>
      </c>
      <c r="W13" s="10">
        <f t="shared" si="4"/>
        <v>0.4817518248</v>
      </c>
      <c r="X13" s="10">
        <f t="shared" si="5"/>
        <v>0.5954198473</v>
      </c>
      <c r="Y13" s="10">
        <f t="shared" si="6"/>
        <v>1.077171672</v>
      </c>
    </row>
    <row r="14" ht="22.5" customHeight="1">
      <c r="A14" s="5" t="s">
        <v>37</v>
      </c>
      <c r="B14" s="6">
        <f>COUNTIF(Game_Data[Player],$A14)</f>
        <v>23</v>
      </c>
      <c r="C14" s="6">
        <f>SUMIF(Game_Data[Player],$A14,Game_Data[PA])</f>
        <v>86</v>
      </c>
      <c r="D14" s="6">
        <f>SUMIF(Game_Data[Player],$A14,Game_Data[AB])</f>
        <v>80</v>
      </c>
      <c r="E14" s="6">
        <f>SUMIF(Game_Data[Player],$A14,Game_Data[H])</f>
        <v>37</v>
      </c>
      <c r="F14" s="7">
        <f>SUMIF(Game_Data[Player],$A14,Game_Data[1B])</f>
        <v>32</v>
      </c>
      <c r="G14" s="7">
        <f>SUMIF(Game_Data[Player],$A14,Game_Data[2B])</f>
        <v>5</v>
      </c>
      <c r="H14" s="7">
        <f>SUMIF(Game_Data[Player],$A14,Game_Data[3B])</f>
        <v>0</v>
      </c>
      <c r="I14" s="7">
        <f>SUMIF(Game_Data[Player],$A14,Game_Data[4B])</f>
        <v>0</v>
      </c>
      <c r="J14" s="7">
        <f>SUMIF(Game_Data[Player],$A14,Game_Data[HR])</f>
        <v>0</v>
      </c>
      <c r="K14" s="7">
        <f>SUMIF(Game_Data[Player],$A14,Game_Data[FC])</f>
        <v>8</v>
      </c>
      <c r="L14" s="7">
        <f>SUMIF(Game_Data[Player],$A14,Game_Data[BB])</f>
        <v>4</v>
      </c>
      <c r="M14" s="7">
        <f>SUMIF(Game_Data[Player],$A14,Game_Data[SF])</f>
        <v>2</v>
      </c>
      <c r="N14" s="7">
        <f>SUMIF(Game_Data[Player],$A14,Game_Data[K])</f>
        <v>1</v>
      </c>
      <c r="O14" s="7">
        <f>SUMIF(Game_Data[Player],$A14,Game_Data[KF])</f>
        <v>2</v>
      </c>
      <c r="P14" s="7">
        <f t="shared" si="1"/>
        <v>42</v>
      </c>
      <c r="Q14" s="8">
        <f>SUMIF(Game_Data[Player],$A14,Game_Data[GO])</f>
        <v>6</v>
      </c>
      <c r="R14" s="8">
        <f>SUMIF(Game_Data[Player],$A14,Game_Data[FO])</f>
        <v>26</v>
      </c>
      <c r="S14" s="8">
        <f t="shared" si="2"/>
        <v>32</v>
      </c>
      <c r="T14" s="8">
        <f>SUMIF(Game_Data[Player],$A14,Game_Data[R])</f>
        <v>16</v>
      </c>
      <c r="U14" s="8">
        <f>SUMIF(Game_Data[Player],$A14,Game_Data[RBI])</f>
        <v>24</v>
      </c>
      <c r="V14" s="9">
        <f t="shared" si="3"/>
        <v>0.4625</v>
      </c>
      <c r="W14" s="10">
        <f t="shared" si="4"/>
        <v>0.476744186</v>
      </c>
      <c r="X14" s="10">
        <f t="shared" si="5"/>
        <v>0.525</v>
      </c>
      <c r="Y14" s="10">
        <f t="shared" si="6"/>
        <v>1.001744186</v>
      </c>
    </row>
    <row r="15" ht="22.5" customHeight="1">
      <c r="A15" s="12" t="s">
        <v>38</v>
      </c>
      <c r="B15" s="6">
        <f>COUNTIF(Game_Data[Player],$A15)</f>
        <v>37</v>
      </c>
      <c r="C15" s="6">
        <f>SUMIF(Game_Data[Player],$A15,Game_Data[PA])</f>
        <v>129</v>
      </c>
      <c r="D15" s="6">
        <f>SUMIF(Game_Data[Player],$A15,Game_Data[AB])</f>
        <v>123</v>
      </c>
      <c r="E15" s="6">
        <f>SUMIF(Game_Data[Player],$A15,Game_Data[H])</f>
        <v>55</v>
      </c>
      <c r="F15" s="7">
        <f>SUMIF(Game_Data[Player],$A15,Game_Data[1B])</f>
        <v>49</v>
      </c>
      <c r="G15" s="7">
        <f>SUMIF(Game_Data[Player],$A15,Game_Data[2B])</f>
        <v>5</v>
      </c>
      <c r="H15" s="7">
        <f>SUMIF(Game_Data[Player],$A15,Game_Data[3B])</f>
        <v>1</v>
      </c>
      <c r="I15" s="7">
        <f>SUMIF(Game_Data[Player],$A15,Game_Data[4B])</f>
        <v>0</v>
      </c>
      <c r="J15" s="7">
        <f>SUMIF(Game_Data[Player],$A15,Game_Data[HR])</f>
        <v>0</v>
      </c>
      <c r="K15" s="7">
        <f>SUMIF(Game_Data[Player],$A15,Game_Data[FC])</f>
        <v>7</v>
      </c>
      <c r="L15" s="7">
        <f>SUMIF(Game_Data[Player],$A15,Game_Data[BB])</f>
        <v>6</v>
      </c>
      <c r="M15" s="7">
        <f>SUMIF(Game_Data[Player],$A15,Game_Data[SF])</f>
        <v>0</v>
      </c>
      <c r="N15" s="7">
        <f>SUMIF(Game_Data[Player],$A15,Game_Data[K])</f>
        <v>0</v>
      </c>
      <c r="O15" s="7">
        <f>SUMIF(Game_Data[Player],$A15,Game_Data[KF])</f>
        <v>1</v>
      </c>
      <c r="P15" s="7">
        <f t="shared" si="1"/>
        <v>62</v>
      </c>
      <c r="Q15" s="8">
        <f>SUMIF(Game_Data[Player],$A15,Game_Data[GO])</f>
        <v>28</v>
      </c>
      <c r="R15" s="8">
        <f>SUMIF(Game_Data[Player],$A15,Game_Data[FO])</f>
        <v>32</v>
      </c>
      <c r="S15" s="8">
        <f t="shared" si="2"/>
        <v>60</v>
      </c>
      <c r="T15" s="8">
        <f>SUMIF(Game_Data[Player],$A15,Game_Data[R])</f>
        <v>39</v>
      </c>
      <c r="U15" s="8">
        <f>SUMIF(Game_Data[Player],$A15,Game_Data[RBI])</f>
        <v>28</v>
      </c>
      <c r="V15" s="9">
        <f t="shared" si="3"/>
        <v>0.4471544715</v>
      </c>
      <c r="W15" s="10">
        <f t="shared" si="4"/>
        <v>0.4728682171</v>
      </c>
      <c r="X15" s="10">
        <f t="shared" si="5"/>
        <v>0.5040650407</v>
      </c>
      <c r="Y15" s="10">
        <f t="shared" si="6"/>
        <v>0.9769332577</v>
      </c>
    </row>
    <row r="16" ht="22.5" customHeight="1">
      <c r="A16" s="12" t="s">
        <v>39</v>
      </c>
      <c r="B16" s="6">
        <f>COUNTIF(Game_Data[Player],$A16)</f>
        <v>18</v>
      </c>
      <c r="C16" s="6">
        <f>SUMIF(Game_Data[Player],$A16,Game_Data[PA])</f>
        <v>61</v>
      </c>
      <c r="D16" s="6">
        <f>SUMIF(Game_Data[Player],$A16,Game_Data[AB])</f>
        <v>55</v>
      </c>
      <c r="E16" s="6">
        <f>SUMIF(Game_Data[Player],$A16,Game_Data[H])</f>
        <v>22</v>
      </c>
      <c r="F16" s="7">
        <f>SUMIF(Game_Data[Player],$A16,Game_Data[1B])</f>
        <v>18</v>
      </c>
      <c r="G16" s="7">
        <f>SUMIF(Game_Data[Player],$A16,Game_Data[2B])</f>
        <v>3</v>
      </c>
      <c r="H16" s="7">
        <f>SUMIF(Game_Data[Player],$A16,Game_Data[3B])</f>
        <v>0</v>
      </c>
      <c r="I16" s="7">
        <f>SUMIF(Game_Data[Player],$A16,Game_Data[4B])</f>
        <v>0</v>
      </c>
      <c r="J16" s="7">
        <f>SUMIF(Game_Data[Player],$A16,Game_Data[HR])</f>
        <v>1</v>
      </c>
      <c r="K16" s="7">
        <f>SUMIF(Game_Data[Player],$A16,Game_Data[FC])</f>
        <v>4</v>
      </c>
      <c r="L16" s="7">
        <f>SUMIF(Game_Data[Player],$A16,Game_Data[BB])</f>
        <v>5</v>
      </c>
      <c r="M16" s="7">
        <f>SUMIF(Game_Data[Player],$A16,Game_Data[SF])</f>
        <v>1</v>
      </c>
      <c r="N16" s="7">
        <f>SUMIF(Game_Data[Player],$A16,Game_Data[K])</f>
        <v>0</v>
      </c>
      <c r="O16" s="7">
        <f>SUMIF(Game_Data[Player],$A16,Game_Data[KF])</f>
        <v>1</v>
      </c>
      <c r="P16" s="7">
        <f t="shared" si="1"/>
        <v>28</v>
      </c>
      <c r="Q16" s="8">
        <f>SUMIF(Game_Data[Player],$A16,Game_Data[GO])</f>
        <v>4</v>
      </c>
      <c r="R16" s="8">
        <f>SUMIF(Game_Data[Player],$A16,Game_Data[FO])</f>
        <v>24</v>
      </c>
      <c r="S16" s="8">
        <f t="shared" si="2"/>
        <v>28</v>
      </c>
      <c r="T16" s="8">
        <f>SUMIF(Game_Data[Player],$A16,Game_Data[R])</f>
        <v>13</v>
      </c>
      <c r="U16" s="8">
        <f>SUMIF(Game_Data[Player],$A16,Game_Data[RBI])</f>
        <v>13</v>
      </c>
      <c r="V16" s="9">
        <f t="shared" si="3"/>
        <v>0.4</v>
      </c>
      <c r="W16" s="10">
        <f t="shared" si="4"/>
        <v>0.4426229508</v>
      </c>
      <c r="X16" s="10">
        <f t="shared" si="5"/>
        <v>0.5090909091</v>
      </c>
      <c r="Y16" s="10">
        <f t="shared" si="6"/>
        <v>0.9517138599</v>
      </c>
    </row>
    <row r="17" ht="22.5" customHeight="1">
      <c r="A17" s="5" t="s">
        <v>40</v>
      </c>
      <c r="B17" s="6">
        <f>COUNTIF(Game_Data[Player],$A17)</f>
        <v>20</v>
      </c>
      <c r="C17" s="6">
        <f>SUMIF(Game_Data[Player],$A17,Game_Data[PA])</f>
        <v>72</v>
      </c>
      <c r="D17" s="6">
        <f>SUMIF(Game_Data[Player],$A17,Game_Data[AB])</f>
        <v>67</v>
      </c>
      <c r="E17" s="6">
        <f>SUMIF(Game_Data[Player],$A17,Game_Data[H])</f>
        <v>21</v>
      </c>
      <c r="F17" s="7">
        <f>SUMIF(Game_Data[Player],$A17,Game_Data[1B])</f>
        <v>20</v>
      </c>
      <c r="G17" s="7">
        <f>SUMIF(Game_Data[Player],$A17,Game_Data[2B])</f>
        <v>1</v>
      </c>
      <c r="H17" s="7">
        <f>SUMIF(Game_Data[Player],$A17,Game_Data[3B])</f>
        <v>0</v>
      </c>
      <c r="I17" s="7">
        <f>SUMIF(Game_Data[Player],$A17,Game_Data[4B])</f>
        <v>0</v>
      </c>
      <c r="J17" s="7">
        <f>SUMIF(Game_Data[Player],$A17,Game_Data[HR])</f>
        <v>0</v>
      </c>
      <c r="K17" s="7">
        <f>SUMIF(Game_Data[Player],$A17,Game_Data[FC])</f>
        <v>4</v>
      </c>
      <c r="L17" s="7">
        <f>SUMIF(Game_Data[Player],$A17,Game_Data[BB])</f>
        <v>5</v>
      </c>
      <c r="M17" s="7">
        <f>SUMIF(Game_Data[Player],$A17,Game_Data[SF])</f>
        <v>0</v>
      </c>
      <c r="N17" s="7">
        <f>SUMIF(Game_Data[Player],$A17,Game_Data[K])</f>
        <v>0</v>
      </c>
      <c r="O17" s="7">
        <f>SUMIF(Game_Data[Player],$A17,Game_Data[KF])</f>
        <v>0</v>
      </c>
      <c r="P17" s="7">
        <f t="shared" si="1"/>
        <v>22</v>
      </c>
      <c r="Q17" s="8">
        <f>SUMIF(Game_Data[Player],$A17,Game_Data[GO])</f>
        <v>8</v>
      </c>
      <c r="R17" s="8">
        <f>SUMIF(Game_Data[Player],$A17,Game_Data[FO])</f>
        <v>34</v>
      </c>
      <c r="S17" s="8">
        <f t="shared" si="2"/>
        <v>42</v>
      </c>
      <c r="T17" s="8">
        <f>SUMIF(Game_Data[Player],$A17,Game_Data[R])</f>
        <v>16</v>
      </c>
      <c r="U17" s="8">
        <f>SUMIF(Game_Data[Player],$A17,Game_Data[RBI])</f>
        <v>12</v>
      </c>
      <c r="V17" s="9">
        <f t="shared" si="3"/>
        <v>0.3134328358</v>
      </c>
      <c r="W17" s="10">
        <f t="shared" si="4"/>
        <v>0.3611111111</v>
      </c>
      <c r="X17" s="10">
        <f t="shared" si="5"/>
        <v>0.328358209</v>
      </c>
      <c r="Y17" s="10">
        <f t="shared" si="6"/>
        <v>0.6894693201</v>
      </c>
    </row>
    <row r="18" ht="22.5" customHeight="1">
      <c r="A18" s="13" t="s">
        <v>41</v>
      </c>
      <c r="B18" s="14">
        <f>MAX(Game_Data[Game #])</f>
        <v>38</v>
      </c>
      <c r="C18" s="15">
        <f>SUBTOTAL(9, Player_Stats[PA])</f>
        <v>1615</v>
      </c>
      <c r="D18" s="15">
        <f>SUBTOTAL(9, Player_Stats[AB])</f>
        <v>1494</v>
      </c>
      <c r="E18" s="15">
        <f>SUBTOTAL(9, Player_Stats[H])</f>
        <v>854</v>
      </c>
      <c r="F18" s="15">
        <f>SUBTOTAL(9, Player_Stats[1B])</f>
        <v>612</v>
      </c>
      <c r="G18" s="15">
        <f>SUBTOTAL(9, Player_Stats[2B])</f>
        <v>160</v>
      </c>
      <c r="H18" s="15">
        <f>SUBTOTAL(9, Player_Stats[3B])</f>
        <v>38</v>
      </c>
      <c r="I18" s="15">
        <f>SUBTOTAL(9, Player_Stats[4B])</f>
        <v>9</v>
      </c>
      <c r="J18" s="15">
        <f>SUBTOTAL(9, Player_Stats[HR])</f>
        <v>35</v>
      </c>
      <c r="K18" s="15">
        <f>SUBTOTAL(9, Player_Stats[FC])</f>
        <v>78</v>
      </c>
      <c r="L18" s="15">
        <f>SUBTOTAL(9, Player_Stats[BB])</f>
        <v>77</v>
      </c>
      <c r="M18" s="16">
        <f>SUBTOTAL(9, 'Player Stats'!$M$2:$M$17)</f>
        <v>44</v>
      </c>
      <c r="N18" s="15">
        <f>SUBTOTAL(9, Player_Stats[K])</f>
        <v>5</v>
      </c>
      <c r="O18" s="15">
        <f>SUBTOTAL(9, Player_Stats[KF])</f>
        <v>11</v>
      </c>
      <c r="P18" s="7">
        <f>SUBTOTAL(9,Player_Stats[TB])</f>
        <v>1222</v>
      </c>
      <c r="Q18" s="7">
        <f>SUBTOTAL(9,Player_Stats[GO])</f>
        <v>86</v>
      </c>
      <c r="R18" s="7">
        <f>SUBTOTAL(9,Player_Stats[FO])</f>
        <v>460</v>
      </c>
      <c r="S18" s="7">
        <f>SUBTOTAL(9,Player_Stats[O])</f>
        <v>546</v>
      </c>
      <c r="T18" s="7">
        <f>SUBTOTAL(9,Player_Stats[R])</f>
        <v>569</v>
      </c>
      <c r="U18" s="7">
        <f>SUBTOTAL(9,Player_Stats[RBI])</f>
        <v>573</v>
      </c>
      <c r="V18" s="10">
        <f>Player_Stats[[#TOTALS],[H]]/Player_Stats[[#TOTALS],[AB]]</f>
        <v>0.5716198126</v>
      </c>
      <c r="W18" s="10">
        <f>IFERROR((Player_Stats[[#TOTALS],[H]]+Player_Stats[[#TOTALS],[BB]])/Player_Stats[[#TOTALS],[PA]],0)</f>
        <v>0.5764705882</v>
      </c>
      <c r="X18" s="10">
        <f>IFERROR(Player_Stats[[#TOTALS],[TB]]/Player_Stats[[#TOTALS],[AB]],0)</f>
        <v>0.8179384203</v>
      </c>
      <c r="Y18" s="10">
        <f>Player_Stats[[#TOTALS],[OBP]]+Player_Stats[[#TOTALS],[SLG]]</f>
        <v>1.394409009</v>
      </c>
    </row>
    <row r="19">
      <c r="M19" s="17"/>
      <c r="W19" s="18"/>
      <c r="X19" s="18"/>
      <c r="Y19" s="18"/>
    </row>
    <row r="20">
      <c r="A20" s="19" t="s">
        <v>42</v>
      </c>
      <c r="B20" s="20">
        <v>45916.0</v>
      </c>
      <c r="M20" s="17"/>
      <c r="W20" s="18"/>
      <c r="X20" s="18"/>
      <c r="Y20" s="18"/>
    </row>
    <row r="21">
      <c r="M21" s="17"/>
      <c r="W21" s="18"/>
      <c r="X21" s="18"/>
      <c r="Y21" s="18"/>
    </row>
    <row r="22">
      <c r="M22" s="17"/>
      <c r="W22" s="18"/>
      <c r="X22" s="18"/>
      <c r="Y22" s="18"/>
    </row>
    <row r="23">
      <c r="M23" s="17"/>
      <c r="W23" s="18"/>
      <c r="X23" s="18"/>
      <c r="Y23" s="18"/>
    </row>
    <row r="24">
      <c r="M24" s="17"/>
      <c r="W24" s="18"/>
      <c r="X24" s="18"/>
      <c r="Y24" s="18"/>
    </row>
    <row r="25">
      <c r="M25" s="17"/>
      <c r="W25" s="18"/>
      <c r="X25" s="18"/>
      <c r="Y25" s="18"/>
    </row>
    <row r="26">
      <c r="M26" s="17"/>
      <c r="W26" s="18"/>
      <c r="X26" s="18"/>
      <c r="Y26" s="18"/>
    </row>
    <row r="27">
      <c r="M27" s="17"/>
      <c r="W27" s="18"/>
      <c r="X27" s="18"/>
      <c r="Y27" s="18"/>
    </row>
    <row r="28">
      <c r="M28" s="17"/>
      <c r="W28" s="18"/>
      <c r="X28" s="18"/>
      <c r="Y28" s="18"/>
    </row>
    <row r="29">
      <c r="M29" s="17"/>
      <c r="W29" s="18"/>
      <c r="X29" s="18"/>
      <c r="Y29" s="18"/>
    </row>
    <row r="30">
      <c r="M30" s="17"/>
      <c r="W30" s="18"/>
      <c r="X30" s="18"/>
      <c r="Y30" s="18"/>
    </row>
    <row r="31">
      <c r="M31" s="17"/>
      <c r="W31" s="18"/>
      <c r="X31" s="18"/>
      <c r="Y31" s="18"/>
    </row>
    <row r="32">
      <c r="M32" s="17"/>
      <c r="W32" s="18"/>
      <c r="X32" s="18"/>
      <c r="Y32" s="18"/>
    </row>
    <row r="33">
      <c r="M33" s="17"/>
      <c r="W33" s="18"/>
      <c r="X33" s="18"/>
      <c r="Y33" s="18"/>
    </row>
    <row r="34">
      <c r="M34" s="17"/>
      <c r="W34" s="18"/>
      <c r="X34" s="18"/>
      <c r="Y34" s="18"/>
    </row>
    <row r="35">
      <c r="M35" s="17"/>
      <c r="W35" s="18"/>
      <c r="X35" s="18"/>
      <c r="Y35" s="18"/>
    </row>
    <row r="36">
      <c r="M36" s="17"/>
      <c r="W36" s="18"/>
      <c r="X36" s="18"/>
      <c r="Y36" s="18"/>
    </row>
    <row r="37">
      <c r="M37" s="17"/>
      <c r="W37" s="18"/>
      <c r="X37" s="18"/>
      <c r="Y37" s="18"/>
    </row>
    <row r="38">
      <c r="M38" s="17"/>
      <c r="W38" s="18"/>
      <c r="X38" s="18"/>
      <c r="Y38" s="18"/>
    </row>
    <row r="39">
      <c r="M39" s="17"/>
      <c r="W39" s="18"/>
      <c r="X39" s="18"/>
      <c r="Y39" s="18"/>
    </row>
    <row r="40">
      <c r="M40" s="17"/>
      <c r="W40" s="18"/>
      <c r="X40" s="18"/>
      <c r="Y40" s="18"/>
    </row>
    <row r="41">
      <c r="M41" s="17"/>
      <c r="W41" s="18"/>
      <c r="X41" s="18"/>
      <c r="Y41" s="18"/>
    </row>
    <row r="42">
      <c r="M42" s="17"/>
      <c r="W42" s="18"/>
      <c r="X42" s="18"/>
      <c r="Y42" s="18"/>
    </row>
    <row r="43">
      <c r="M43" s="17"/>
      <c r="W43" s="18"/>
      <c r="X43" s="18"/>
      <c r="Y43" s="18"/>
    </row>
    <row r="44">
      <c r="M44" s="17"/>
      <c r="W44" s="18"/>
      <c r="X44" s="18"/>
      <c r="Y44" s="18"/>
    </row>
    <row r="45">
      <c r="M45" s="17"/>
      <c r="W45" s="18"/>
      <c r="X45" s="18"/>
      <c r="Y45" s="18"/>
    </row>
    <row r="46">
      <c r="M46" s="17"/>
      <c r="W46" s="18"/>
      <c r="X46" s="18"/>
      <c r="Y46" s="18"/>
    </row>
    <row r="47">
      <c r="M47" s="17"/>
      <c r="W47" s="18"/>
      <c r="X47" s="18"/>
      <c r="Y47" s="18"/>
    </row>
    <row r="48">
      <c r="M48" s="17"/>
      <c r="W48" s="18"/>
      <c r="X48" s="18"/>
      <c r="Y48" s="18"/>
    </row>
    <row r="49">
      <c r="M49" s="17"/>
      <c r="W49" s="18"/>
      <c r="X49" s="18"/>
      <c r="Y49" s="18"/>
    </row>
    <row r="50">
      <c r="M50" s="17"/>
      <c r="W50" s="18"/>
      <c r="X50" s="18"/>
      <c r="Y50" s="18"/>
    </row>
    <row r="51">
      <c r="M51" s="17"/>
      <c r="W51" s="18"/>
      <c r="X51" s="18"/>
      <c r="Y51" s="18"/>
    </row>
    <row r="52">
      <c r="M52" s="17"/>
      <c r="W52" s="18"/>
      <c r="X52" s="18"/>
      <c r="Y52" s="18"/>
    </row>
    <row r="53">
      <c r="M53" s="17"/>
      <c r="W53" s="18"/>
      <c r="X53" s="18"/>
      <c r="Y53" s="18"/>
    </row>
    <row r="54">
      <c r="M54" s="17"/>
      <c r="W54" s="18"/>
      <c r="X54" s="18"/>
      <c r="Y54" s="18"/>
    </row>
    <row r="55">
      <c r="M55" s="17"/>
      <c r="W55" s="18"/>
      <c r="X55" s="18"/>
      <c r="Y55" s="18"/>
    </row>
    <row r="56">
      <c r="M56" s="17"/>
      <c r="W56" s="18"/>
      <c r="X56" s="18"/>
      <c r="Y56" s="18"/>
    </row>
    <row r="57">
      <c r="M57" s="17"/>
      <c r="W57" s="18"/>
      <c r="X57" s="18"/>
      <c r="Y57" s="18"/>
    </row>
    <row r="58">
      <c r="M58" s="17"/>
      <c r="W58" s="18"/>
      <c r="X58" s="18"/>
      <c r="Y58" s="18"/>
    </row>
    <row r="59">
      <c r="M59" s="17"/>
      <c r="W59" s="18"/>
      <c r="X59" s="18"/>
      <c r="Y59" s="18"/>
    </row>
    <row r="60">
      <c r="M60" s="17"/>
      <c r="W60" s="18"/>
      <c r="X60" s="18"/>
      <c r="Y60" s="18"/>
    </row>
    <row r="61">
      <c r="M61" s="17"/>
      <c r="W61" s="18"/>
      <c r="X61" s="18"/>
      <c r="Y61" s="18"/>
    </row>
    <row r="62">
      <c r="M62" s="17"/>
      <c r="W62" s="18"/>
      <c r="X62" s="18"/>
      <c r="Y62" s="18"/>
    </row>
    <row r="63">
      <c r="M63" s="17"/>
      <c r="W63" s="18"/>
      <c r="X63" s="18"/>
      <c r="Y63" s="18"/>
    </row>
    <row r="64">
      <c r="M64" s="17"/>
      <c r="W64" s="18"/>
      <c r="X64" s="18"/>
      <c r="Y64" s="18"/>
    </row>
    <row r="65">
      <c r="M65" s="17"/>
      <c r="W65" s="18"/>
      <c r="X65" s="18"/>
      <c r="Y65" s="18"/>
    </row>
    <row r="66">
      <c r="M66" s="17"/>
      <c r="W66" s="18"/>
      <c r="X66" s="18"/>
      <c r="Y66" s="18"/>
    </row>
    <row r="67">
      <c r="M67" s="17"/>
      <c r="W67" s="18"/>
      <c r="X67" s="18"/>
      <c r="Y67" s="18"/>
    </row>
    <row r="68">
      <c r="M68" s="17"/>
      <c r="W68" s="18"/>
      <c r="X68" s="18"/>
      <c r="Y68" s="18"/>
    </row>
    <row r="69">
      <c r="M69" s="17"/>
      <c r="W69" s="18"/>
      <c r="X69" s="18"/>
      <c r="Y69" s="18"/>
    </row>
    <row r="70">
      <c r="M70" s="17"/>
      <c r="W70" s="18"/>
      <c r="X70" s="18"/>
      <c r="Y70" s="18"/>
    </row>
    <row r="71">
      <c r="M71" s="17"/>
      <c r="W71" s="18"/>
      <c r="X71" s="18"/>
      <c r="Y71" s="18"/>
    </row>
    <row r="72">
      <c r="M72" s="17"/>
      <c r="W72" s="18"/>
      <c r="X72" s="18"/>
      <c r="Y72" s="18"/>
    </row>
    <row r="73">
      <c r="M73" s="17"/>
      <c r="W73" s="18"/>
      <c r="X73" s="18"/>
      <c r="Y73" s="18"/>
    </row>
    <row r="74">
      <c r="M74" s="17"/>
      <c r="W74" s="18"/>
      <c r="X74" s="18"/>
      <c r="Y74" s="18"/>
    </row>
    <row r="75">
      <c r="M75" s="17"/>
      <c r="W75" s="18"/>
      <c r="X75" s="18"/>
      <c r="Y75" s="18"/>
    </row>
    <row r="76">
      <c r="M76" s="17"/>
      <c r="W76" s="18"/>
      <c r="X76" s="18"/>
      <c r="Y76" s="18"/>
    </row>
    <row r="77">
      <c r="M77" s="17"/>
      <c r="W77" s="18"/>
      <c r="X77" s="18"/>
      <c r="Y77" s="18"/>
    </row>
    <row r="78">
      <c r="M78" s="17"/>
      <c r="W78" s="18"/>
      <c r="X78" s="18"/>
      <c r="Y78" s="18"/>
    </row>
    <row r="79">
      <c r="M79" s="17"/>
      <c r="W79" s="18"/>
      <c r="X79" s="18"/>
      <c r="Y79" s="18"/>
    </row>
    <row r="80">
      <c r="M80" s="17"/>
      <c r="W80" s="18"/>
      <c r="X80" s="18"/>
      <c r="Y80" s="18"/>
    </row>
    <row r="81">
      <c r="M81" s="17"/>
      <c r="W81" s="18"/>
      <c r="X81" s="18"/>
      <c r="Y81" s="18"/>
    </row>
    <row r="82">
      <c r="M82" s="17"/>
      <c r="W82" s="18"/>
      <c r="X82" s="18"/>
      <c r="Y82" s="18"/>
    </row>
    <row r="83">
      <c r="M83" s="17"/>
      <c r="W83" s="18"/>
      <c r="X83" s="18"/>
      <c r="Y83" s="18"/>
    </row>
    <row r="84">
      <c r="M84" s="17"/>
      <c r="W84" s="18"/>
      <c r="X84" s="18"/>
      <c r="Y84" s="18"/>
    </row>
    <row r="85">
      <c r="M85" s="17"/>
      <c r="W85" s="18"/>
      <c r="X85" s="18"/>
      <c r="Y85" s="18"/>
    </row>
    <row r="86">
      <c r="M86" s="17"/>
      <c r="W86" s="18"/>
      <c r="X86" s="18"/>
      <c r="Y86" s="18"/>
    </row>
    <row r="87">
      <c r="M87" s="17"/>
      <c r="W87" s="18"/>
      <c r="X87" s="18"/>
      <c r="Y87" s="18"/>
    </row>
    <row r="88">
      <c r="M88" s="17"/>
      <c r="W88" s="18"/>
      <c r="X88" s="18"/>
      <c r="Y88" s="18"/>
    </row>
    <row r="89">
      <c r="M89" s="17"/>
      <c r="W89" s="18"/>
      <c r="X89" s="18"/>
      <c r="Y89" s="18"/>
    </row>
    <row r="90">
      <c r="M90" s="17"/>
      <c r="W90" s="18"/>
      <c r="X90" s="18"/>
      <c r="Y90" s="18"/>
    </row>
    <row r="91">
      <c r="M91" s="17"/>
      <c r="W91" s="18"/>
      <c r="X91" s="18"/>
      <c r="Y91" s="18"/>
    </row>
    <row r="92">
      <c r="M92" s="17"/>
      <c r="W92" s="18"/>
      <c r="X92" s="18"/>
      <c r="Y92" s="18"/>
    </row>
    <row r="93">
      <c r="M93" s="17"/>
      <c r="W93" s="18"/>
      <c r="X93" s="18"/>
      <c r="Y93" s="18"/>
    </row>
    <row r="94">
      <c r="M94" s="17"/>
      <c r="W94" s="18"/>
      <c r="X94" s="18"/>
      <c r="Y94" s="18"/>
    </row>
    <row r="95">
      <c r="M95" s="17"/>
      <c r="W95" s="18"/>
      <c r="X95" s="18"/>
      <c r="Y95" s="18"/>
    </row>
    <row r="96">
      <c r="M96" s="17"/>
      <c r="W96" s="18"/>
      <c r="X96" s="18"/>
      <c r="Y96" s="18"/>
    </row>
    <row r="97">
      <c r="M97" s="17"/>
      <c r="W97" s="18"/>
      <c r="X97" s="18"/>
      <c r="Y97" s="18"/>
    </row>
    <row r="98">
      <c r="M98" s="17"/>
      <c r="W98" s="18"/>
      <c r="X98" s="18"/>
      <c r="Y98" s="18"/>
    </row>
    <row r="99">
      <c r="M99" s="17"/>
      <c r="W99" s="18"/>
      <c r="X99" s="18"/>
      <c r="Y99" s="18"/>
    </row>
    <row r="100">
      <c r="M100" s="17"/>
      <c r="W100" s="18"/>
      <c r="X100" s="18"/>
      <c r="Y100" s="18"/>
    </row>
    <row r="101">
      <c r="M101" s="17"/>
      <c r="W101" s="18"/>
      <c r="X101" s="18"/>
      <c r="Y101" s="18"/>
    </row>
    <row r="102">
      <c r="M102" s="17"/>
      <c r="W102" s="18"/>
      <c r="X102" s="18"/>
      <c r="Y102" s="18"/>
    </row>
    <row r="103">
      <c r="M103" s="17"/>
      <c r="W103" s="18"/>
      <c r="X103" s="18"/>
      <c r="Y103" s="18"/>
    </row>
    <row r="104">
      <c r="M104" s="17"/>
      <c r="W104" s="18"/>
      <c r="X104" s="18"/>
      <c r="Y104" s="18"/>
    </row>
    <row r="105">
      <c r="M105" s="17"/>
      <c r="W105" s="18"/>
      <c r="X105" s="18"/>
      <c r="Y105" s="18"/>
    </row>
    <row r="106">
      <c r="M106" s="17"/>
      <c r="W106" s="18"/>
      <c r="X106" s="18"/>
      <c r="Y106" s="18"/>
    </row>
    <row r="107">
      <c r="M107" s="17"/>
      <c r="W107" s="18"/>
      <c r="X107" s="18"/>
      <c r="Y107" s="18"/>
    </row>
    <row r="108">
      <c r="M108" s="17"/>
      <c r="W108" s="18"/>
      <c r="X108" s="18"/>
      <c r="Y108" s="18"/>
    </row>
    <row r="109">
      <c r="M109" s="17"/>
      <c r="W109" s="18"/>
      <c r="X109" s="18"/>
      <c r="Y109" s="18"/>
    </row>
    <row r="110">
      <c r="M110" s="17"/>
      <c r="W110" s="18"/>
      <c r="X110" s="18"/>
      <c r="Y110" s="18"/>
    </row>
    <row r="111">
      <c r="M111" s="17"/>
      <c r="W111" s="18"/>
      <c r="X111" s="18"/>
      <c r="Y111" s="18"/>
    </row>
    <row r="112">
      <c r="M112" s="17"/>
      <c r="W112" s="18"/>
      <c r="X112" s="18"/>
      <c r="Y112" s="18"/>
    </row>
    <row r="113">
      <c r="M113" s="17"/>
      <c r="W113" s="18"/>
      <c r="X113" s="18"/>
      <c r="Y113" s="18"/>
    </row>
    <row r="114">
      <c r="M114" s="17"/>
      <c r="W114" s="18"/>
      <c r="X114" s="18"/>
      <c r="Y114" s="18"/>
    </row>
    <row r="115">
      <c r="M115" s="17"/>
      <c r="W115" s="18"/>
      <c r="X115" s="18"/>
      <c r="Y115" s="18"/>
    </row>
    <row r="116">
      <c r="M116" s="17"/>
      <c r="W116" s="18"/>
      <c r="X116" s="18"/>
      <c r="Y116" s="18"/>
    </row>
    <row r="117">
      <c r="M117" s="17"/>
      <c r="W117" s="18"/>
      <c r="X117" s="18"/>
      <c r="Y117" s="18"/>
    </row>
    <row r="118">
      <c r="M118" s="17"/>
      <c r="W118" s="18"/>
      <c r="X118" s="18"/>
      <c r="Y118" s="18"/>
    </row>
    <row r="119">
      <c r="M119" s="17"/>
      <c r="W119" s="18"/>
      <c r="X119" s="18"/>
      <c r="Y119" s="18"/>
    </row>
    <row r="120">
      <c r="M120" s="17"/>
      <c r="W120" s="18"/>
      <c r="X120" s="18"/>
      <c r="Y120" s="18"/>
    </row>
    <row r="121">
      <c r="M121" s="17"/>
      <c r="W121" s="18"/>
      <c r="X121" s="18"/>
      <c r="Y121" s="18"/>
    </row>
    <row r="122">
      <c r="M122" s="17"/>
      <c r="W122" s="18"/>
      <c r="X122" s="18"/>
      <c r="Y122" s="18"/>
    </row>
    <row r="123">
      <c r="M123" s="17"/>
      <c r="W123" s="18"/>
      <c r="X123" s="18"/>
      <c r="Y123" s="18"/>
    </row>
    <row r="124">
      <c r="M124" s="17"/>
      <c r="W124" s="18"/>
      <c r="X124" s="18"/>
      <c r="Y124" s="18"/>
    </row>
    <row r="125">
      <c r="M125" s="17"/>
      <c r="W125" s="18"/>
      <c r="X125" s="18"/>
      <c r="Y125" s="18"/>
    </row>
    <row r="126">
      <c r="M126" s="17"/>
      <c r="W126" s="18"/>
      <c r="X126" s="18"/>
      <c r="Y126" s="18"/>
    </row>
    <row r="127">
      <c r="M127" s="17"/>
      <c r="W127" s="18"/>
      <c r="X127" s="18"/>
      <c r="Y127" s="18"/>
    </row>
    <row r="128">
      <c r="M128" s="17"/>
      <c r="W128" s="18"/>
      <c r="X128" s="18"/>
      <c r="Y128" s="18"/>
    </row>
    <row r="129">
      <c r="M129" s="17"/>
      <c r="W129" s="18"/>
      <c r="X129" s="18"/>
      <c r="Y129" s="18"/>
    </row>
    <row r="130">
      <c r="M130" s="17"/>
      <c r="W130" s="18"/>
      <c r="X130" s="18"/>
      <c r="Y130" s="18"/>
    </row>
    <row r="131">
      <c r="M131" s="17"/>
      <c r="W131" s="18"/>
      <c r="X131" s="18"/>
      <c r="Y131" s="18"/>
    </row>
    <row r="132">
      <c r="M132" s="17"/>
      <c r="W132" s="18"/>
      <c r="X132" s="18"/>
      <c r="Y132" s="18"/>
    </row>
    <row r="133">
      <c r="M133" s="17"/>
      <c r="W133" s="18"/>
      <c r="X133" s="18"/>
      <c r="Y133" s="18"/>
    </row>
    <row r="134">
      <c r="M134" s="17"/>
      <c r="W134" s="18"/>
      <c r="X134" s="18"/>
      <c r="Y134" s="18"/>
    </row>
    <row r="135">
      <c r="M135" s="17"/>
      <c r="W135" s="18"/>
      <c r="X135" s="18"/>
      <c r="Y135" s="18"/>
    </row>
    <row r="136">
      <c r="M136" s="17"/>
      <c r="W136" s="18"/>
      <c r="X136" s="18"/>
      <c r="Y136" s="18"/>
    </row>
    <row r="137">
      <c r="M137" s="17"/>
      <c r="W137" s="18"/>
      <c r="X137" s="18"/>
      <c r="Y137" s="18"/>
    </row>
    <row r="138">
      <c r="M138" s="17"/>
      <c r="W138" s="18"/>
      <c r="X138" s="18"/>
      <c r="Y138" s="18"/>
    </row>
    <row r="139">
      <c r="M139" s="17"/>
      <c r="W139" s="18"/>
      <c r="X139" s="18"/>
      <c r="Y139" s="18"/>
    </row>
    <row r="140">
      <c r="M140" s="17"/>
      <c r="W140" s="18"/>
      <c r="X140" s="18"/>
      <c r="Y140" s="18"/>
    </row>
    <row r="141">
      <c r="M141" s="17"/>
      <c r="W141" s="18"/>
      <c r="X141" s="18"/>
      <c r="Y141" s="18"/>
    </row>
    <row r="142">
      <c r="M142" s="17"/>
      <c r="W142" s="18"/>
      <c r="X142" s="18"/>
      <c r="Y142" s="18"/>
    </row>
    <row r="143">
      <c r="M143" s="17"/>
      <c r="W143" s="18"/>
      <c r="X143" s="18"/>
      <c r="Y143" s="18"/>
    </row>
    <row r="144">
      <c r="M144" s="17"/>
      <c r="W144" s="18"/>
      <c r="X144" s="18"/>
      <c r="Y144" s="18"/>
    </row>
    <row r="145">
      <c r="M145" s="17"/>
      <c r="W145" s="18"/>
      <c r="X145" s="18"/>
      <c r="Y145" s="18"/>
    </row>
    <row r="146">
      <c r="M146" s="17"/>
      <c r="W146" s="18"/>
      <c r="X146" s="18"/>
      <c r="Y146" s="18"/>
    </row>
    <row r="147">
      <c r="M147" s="17"/>
      <c r="W147" s="18"/>
      <c r="X147" s="18"/>
      <c r="Y147" s="18"/>
    </row>
    <row r="148">
      <c r="M148" s="17"/>
      <c r="W148" s="18"/>
      <c r="X148" s="18"/>
      <c r="Y148" s="18"/>
    </row>
    <row r="149">
      <c r="M149" s="17"/>
      <c r="W149" s="18"/>
      <c r="X149" s="18"/>
      <c r="Y149" s="18"/>
    </row>
    <row r="150">
      <c r="M150" s="17"/>
      <c r="W150" s="18"/>
      <c r="X150" s="18"/>
      <c r="Y150" s="18"/>
    </row>
    <row r="151">
      <c r="M151" s="17"/>
      <c r="W151" s="18"/>
      <c r="X151" s="18"/>
      <c r="Y151" s="18"/>
    </row>
    <row r="152">
      <c r="M152" s="17"/>
      <c r="W152" s="18"/>
      <c r="X152" s="18"/>
      <c r="Y152" s="18"/>
    </row>
    <row r="153">
      <c r="M153" s="17"/>
      <c r="W153" s="18"/>
      <c r="X153" s="18"/>
      <c r="Y153" s="18"/>
    </row>
    <row r="154">
      <c r="M154" s="17"/>
      <c r="W154" s="18"/>
      <c r="X154" s="18"/>
      <c r="Y154" s="18"/>
    </row>
    <row r="155">
      <c r="M155" s="17"/>
      <c r="W155" s="18"/>
      <c r="X155" s="18"/>
      <c r="Y155" s="18"/>
    </row>
    <row r="156">
      <c r="M156" s="17"/>
      <c r="W156" s="18"/>
      <c r="X156" s="18"/>
      <c r="Y156" s="18"/>
    </row>
    <row r="157">
      <c r="M157" s="17"/>
      <c r="W157" s="18"/>
      <c r="X157" s="18"/>
      <c r="Y157" s="18"/>
    </row>
    <row r="158">
      <c r="M158" s="17"/>
      <c r="W158" s="18"/>
      <c r="X158" s="18"/>
      <c r="Y158" s="18"/>
    </row>
    <row r="159">
      <c r="M159" s="17"/>
      <c r="W159" s="18"/>
      <c r="X159" s="18"/>
      <c r="Y159" s="18"/>
    </row>
    <row r="160">
      <c r="M160" s="17"/>
      <c r="W160" s="18"/>
      <c r="X160" s="18"/>
      <c r="Y160" s="18"/>
    </row>
    <row r="161">
      <c r="M161" s="17"/>
      <c r="W161" s="18"/>
      <c r="X161" s="18"/>
      <c r="Y161" s="18"/>
    </row>
    <row r="162">
      <c r="M162" s="17"/>
      <c r="W162" s="18"/>
      <c r="X162" s="18"/>
      <c r="Y162" s="18"/>
    </row>
    <row r="163">
      <c r="M163" s="17"/>
      <c r="W163" s="18"/>
      <c r="X163" s="18"/>
      <c r="Y163" s="18"/>
    </row>
    <row r="164">
      <c r="M164" s="17"/>
      <c r="W164" s="18"/>
      <c r="X164" s="18"/>
      <c r="Y164" s="18"/>
    </row>
    <row r="165">
      <c r="M165" s="17"/>
      <c r="W165" s="18"/>
      <c r="X165" s="18"/>
      <c r="Y165" s="18"/>
    </row>
    <row r="166">
      <c r="M166" s="17"/>
      <c r="W166" s="18"/>
      <c r="X166" s="18"/>
      <c r="Y166" s="18"/>
    </row>
    <row r="167">
      <c r="M167" s="17"/>
      <c r="W167" s="18"/>
      <c r="X167" s="18"/>
      <c r="Y167" s="18"/>
    </row>
    <row r="168">
      <c r="M168" s="17"/>
      <c r="W168" s="18"/>
      <c r="X168" s="18"/>
      <c r="Y168" s="18"/>
    </row>
    <row r="169">
      <c r="M169" s="17"/>
      <c r="W169" s="18"/>
      <c r="X169" s="18"/>
      <c r="Y169" s="18"/>
    </row>
    <row r="170">
      <c r="M170" s="17"/>
      <c r="W170" s="18"/>
      <c r="X170" s="18"/>
      <c r="Y170" s="18"/>
    </row>
    <row r="171">
      <c r="M171" s="17"/>
      <c r="W171" s="18"/>
      <c r="X171" s="18"/>
      <c r="Y171" s="18"/>
    </row>
    <row r="172">
      <c r="M172" s="17"/>
      <c r="W172" s="18"/>
      <c r="X172" s="18"/>
      <c r="Y172" s="18"/>
    </row>
    <row r="173">
      <c r="M173" s="17"/>
      <c r="W173" s="18"/>
      <c r="X173" s="18"/>
      <c r="Y173" s="18"/>
    </row>
    <row r="174">
      <c r="M174" s="17"/>
      <c r="W174" s="18"/>
      <c r="X174" s="18"/>
      <c r="Y174" s="18"/>
    </row>
    <row r="175">
      <c r="M175" s="17"/>
      <c r="W175" s="18"/>
      <c r="X175" s="18"/>
      <c r="Y175" s="18"/>
    </row>
    <row r="176">
      <c r="M176" s="17"/>
      <c r="W176" s="18"/>
      <c r="X176" s="18"/>
      <c r="Y176" s="18"/>
    </row>
    <row r="177">
      <c r="M177" s="17"/>
      <c r="W177" s="18"/>
      <c r="X177" s="18"/>
      <c r="Y177" s="18"/>
    </row>
    <row r="178">
      <c r="M178" s="17"/>
      <c r="W178" s="18"/>
      <c r="X178" s="18"/>
      <c r="Y178" s="18"/>
    </row>
    <row r="179">
      <c r="M179" s="17"/>
      <c r="W179" s="18"/>
      <c r="X179" s="18"/>
      <c r="Y179" s="18"/>
    </row>
    <row r="180">
      <c r="M180" s="17"/>
      <c r="W180" s="18"/>
      <c r="X180" s="18"/>
      <c r="Y180" s="18"/>
    </row>
    <row r="181">
      <c r="M181" s="17"/>
      <c r="W181" s="18"/>
      <c r="X181" s="18"/>
      <c r="Y181" s="18"/>
    </row>
    <row r="182">
      <c r="M182" s="17"/>
      <c r="W182" s="18"/>
      <c r="X182" s="18"/>
      <c r="Y182" s="18"/>
    </row>
    <row r="183">
      <c r="M183" s="17"/>
      <c r="W183" s="18"/>
      <c r="X183" s="18"/>
      <c r="Y183" s="18"/>
    </row>
    <row r="184">
      <c r="M184" s="17"/>
      <c r="W184" s="18"/>
      <c r="X184" s="18"/>
      <c r="Y184" s="18"/>
    </row>
    <row r="185">
      <c r="M185" s="17"/>
      <c r="W185" s="18"/>
      <c r="X185" s="18"/>
      <c r="Y185" s="18"/>
    </row>
    <row r="186">
      <c r="M186" s="17"/>
      <c r="W186" s="18"/>
      <c r="X186" s="18"/>
      <c r="Y186" s="18"/>
    </row>
    <row r="187">
      <c r="M187" s="17"/>
      <c r="W187" s="18"/>
      <c r="X187" s="18"/>
      <c r="Y187" s="18"/>
    </row>
    <row r="188">
      <c r="M188" s="17"/>
      <c r="W188" s="18"/>
      <c r="X188" s="18"/>
      <c r="Y188" s="18"/>
    </row>
    <row r="189">
      <c r="M189" s="17"/>
      <c r="W189" s="18"/>
      <c r="X189" s="18"/>
      <c r="Y189" s="18"/>
    </row>
    <row r="190">
      <c r="M190" s="17"/>
      <c r="W190" s="18"/>
      <c r="X190" s="18"/>
      <c r="Y190" s="18"/>
    </row>
    <row r="191">
      <c r="M191" s="17"/>
      <c r="W191" s="18"/>
      <c r="X191" s="18"/>
      <c r="Y191" s="18"/>
    </row>
    <row r="192">
      <c r="M192" s="17"/>
      <c r="W192" s="18"/>
      <c r="X192" s="18"/>
      <c r="Y192" s="18"/>
    </row>
    <row r="193">
      <c r="M193" s="17"/>
      <c r="W193" s="18"/>
      <c r="X193" s="18"/>
      <c r="Y193" s="18"/>
    </row>
    <row r="194">
      <c r="M194" s="17"/>
      <c r="W194" s="18"/>
      <c r="X194" s="18"/>
      <c r="Y194" s="18"/>
    </row>
    <row r="195">
      <c r="M195" s="17"/>
      <c r="W195" s="18"/>
      <c r="X195" s="18"/>
      <c r="Y195" s="18"/>
    </row>
    <row r="196">
      <c r="M196" s="17"/>
      <c r="W196" s="18"/>
      <c r="X196" s="18"/>
      <c r="Y196" s="18"/>
    </row>
    <row r="197">
      <c r="M197" s="17"/>
      <c r="W197" s="18"/>
      <c r="X197" s="18"/>
      <c r="Y197" s="18"/>
    </row>
    <row r="198">
      <c r="M198" s="17"/>
      <c r="W198" s="18"/>
      <c r="X198" s="18"/>
      <c r="Y198" s="18"/>
    </row>
    <row r="199">
      <c r="M199" s="17"/>
      <c r="W199" s="18"/>
      <c r="X199" s="18"/>
      <c r="Y199" s="18"/>
    </row>
    <row r="200">
      <c r="M200" s="17"/>
      <c r="W200" s="18"/>
      <c r="X200" s="18"/>
      <c r="Y200" s="18"/>
    </row>
    <row r="201">
      <c r="M201" s="17"/>
      <c r="W201" s="18"/>
      <c r="X201" s="18"/>
      <c r="Y201" s="18"/>
    </row>
    <row r="202">
      <c r="M202" s="17"/>
      <c r="W202" s="18"/>
      <c r="X202" s="18"/>
      <c r="Y202" s="18"/>
    </row>
    <row r="203">
      <c r="M203" s="17"/>
      <c r="W203" s="18"/>
      <c r="X203" s="18"/>
      <c r="Y203" s="18"/>
    </row>
    <row r="204">
      <c r="M204" s="17"/>
      <c r="W204" s="18"/>
      <c r="X204" s="18"/>
      <c r="Y204" s="18"/>
    </row>
    <row r="205">
      <c r="M205" s="17"/>
      <c r="W205" s="18"/>
      <c r="X205" s="18"/>
      <c r="Y205" s="18"/>
    </row>
    <row r="206">
      <c r="M206" s="17"/>
      <c r="W206" s="18"/>
      <c r="X206" s="18"/>
      <c r="Y206" s="18"/>
    </row>
    <row r="207">
      <c r="M207" s="17"/>
      <c r="W207" s="18"/>
      <c r="X207" s="18"/>
      <c r="Y207" s="18"/>
    </row>
    <row r="208">
      <c r="M208" s="17"/>
      <c r="W208" s="18"/>
      <c r="X208" s="18"/>
      <c r="Y208" s="18"/>
    </row>
    <row r="209">
      <c r="M209" s="17"/>
      <c r="W209" s="18"/>
      <c r="X209" s="18"/>
      <c r="Y209" s="18"/>
    </row>
    <row r="210">
      <c r="M210" s="17"/>
      <c r="W210" s="18"/>
      <c r="X210" s="18"/>
      <c r="Y210" s="18"/>
    </row>
    <row r="211">
      <c r="M211" s="17"/>
      <c r="W211" s="18"/>
      <c r="X211" s="18"/>
      <c r="Y211" s="18"/>
    </row>
    <row r="212">
      <c r="M212" s="17"/>
      <c r="W212" s="18"/>
      <c r="X212" s="18"/>
      <c r="Y212" s="18"/>
    </row>
    <row r="213">
      <c r="M213" s="17"/>
      <c r="W213" s="18"/>
      <c r="X213" s="18"/>
      <c r="Y213" s="18"/>
    </row>
    <row r="214">
      <c r="M214" s="17"/>
      <c r="W214" s="18"/>
      <c r="X214" s="18"/>
      <c r="Y214" s="18"/>
    </row>
    <row r="215">
      <c r="M215" s="17"/>
      <c r="W215" s="18"/>
      <c r="X215" s="18"/>
      <c r="Y215" s="18"/>
    </row>
    <row r="216">
      <c r="M216" s="17"/>
      <c r="W216" s="18"/>
      <c r="X216" s="18"/>
      <c r="Y216" s="18"/>
    </row>
    <row r="217">
      <c r="M217" s="17"/>
      <c r="W217" s="18"/>
      <c r="X217" s="18"/>
      <c r="Y217" s="18"/>
    </row>
    <row r="218">
      <c r="M218" s="17"/>
      <c r="W218" s="18"/>
      <c r="X218" s="18"/>
      <c r="Y218" s="18"/>
    </row>
    <row r="219">
      <c r="M219" s="17"/>
      <c r="W219" s="18"/>
      <c r="X219" s="18"/>
      <c r="Y219" s="18"/>
    </row>
    <row r="220">
      <c r="M220" s="17"/>
      <c r="W220" s="18"/>
      <c r="X220" s="18"/>
      <c r="Y220" s="18"/>
    </row>
    <row r="221">
      <c r="M221" s="17"/>
      <c r="W221" s="18"/>
      <c r="X221" s="18"/>
      <c r="Y221" s="18"/>
    </row>
    <row r="222">
      <c r="M222" s="17"/>
      <c r="W222" s="18"/>
      <c r="X222" s="18"/>
      <c r="Y222" s="18"/>
    </row>
    <row r="223">
      <c r="M223" s="17"/>
      <c r="W223" s="18"/>
      <c r="X223" s="18"/>
      <c r="Y223" s="18"/>
    </row>
    <row r="224">
      <c r="M224" s="17"/>
      <c r="W224" s="18"/>
      <c r="X224" s="18"/>
      <c r="Y224" s="18"/>
    </row>
    <row r="225">
      <c r="M225" s="17"/>
      <c r="W225" s="18"/>
      <c r="X225" s="18"/>
      <c r="Y225" s="18"/>
    </row>
    <row r="226">
      <c r="M226" s="17"/>
      <c r="W226" s="18"/>
      <c r="X226" s="18"/>
      <c r="Y226" s="18"/>
    </row>
    <row r="227">
      <c r="M227" s="17"/>
      <c r="W227" s="18"/>
      <c r="X227" s="18"/>
      <c r="Y227" s="18"/>
    </row>
    <row r="228">
      <c r="M228" s="17"/>
      <c r="W228" s="18"/>
      <c r="X228" s="18"/>
      <c r="Y228" s="18"/>
    </row>
    <row r="229">
      <c r="M229" s="17"/>
      <c r="W229" s="18"/>
      <c r="X229" s="18"/>
      <c r="Y229" s="18"/>
    </row>
    <row r="230">
      <c r="M230" s="17"/>
      <c r="W230" s="18"/>
      <c r="X230" s="18"/>
      <c r="Y230" s="18"/>
    </row>
    <row r="231">
      <c r="M231" s="17"/>
      <c r="W231" s="18"/>
      <c r="X231" s="18"/>
      <c r="Y231" s="18"/>
    </row>
    <row r="232">
      <c r="M232" s="17"/>
      <c r="W232" s="18"/>
      <c r="X232" s="18"/>
      <c r="Y232" s="18"/>
    </row>
    <row r="233">
      <c r="M233" s="17"/>
      <c r="W233" s="18"/>
      <c r="X233" s="18"/>
      <c r="Y233" s="18"/>
    </row>
    <row r="234">
      <c r="M234" s="17"/>
      <c r="W234" s="18"/>
      <c r="X234" s="18"/>
      <c r="Y234" s="18"/>
    </row>
    <row r="235">
      <c r="M235" s="17"/>
      <c r="W235" s="18"/>
      <c r="X235" s="18"/>
      <c r="Y235" s="18"/>
    </row>
    <row r="236">
      <c r="M236" s="17"/>
      <c r="W236" s="18"/>
      <c r="X236" s="18"/>
      <c r="Y236" s="18"/>
    </row>
    <row r="237">
      <c r="M237" s="17"/>
      <c r="W237" s="18"/>
      <c r="X237" s="18"/>
      <c r="Y237" s="18"/>
    </row>
    <row r="238">
      <c r="M238" s="17"/>
      <c r="W238" s="18"/>
      <c r="X238" s="18"/>
      <c r="Y238" s="18"/>
    </row>
    <row r="239">
      <c r="M239" s="17"/>
      <c r="W239" s="18"/>
      <c r="X239" s="18"/>
      <c r="Y239" s="18"/>
    </row>
    <row r="240">
      <c r="M240" s="17"/>
      <c r="W240" s="18"/>
      <c r="X240" s="18"/>
      <c r="Y240" s="18"/>
    </row>
    <row r="241">
      <c r="M241" s="17"/>
      <c r="W241" s="18"/>
      <c r="X241" s="18"/>
      <c r="Y241" s="18"/>
    </row>
    <row r="242">
      <c r="M242" s="17"/>
      <c r="W242" s="18"/>
      <c r="X242" s="18"/>
      <c r="Y242" s="18"/>
    </row>
    <row r="243">
      <c r="M243" s="17"/>
      <c r="W243" s="18"/>
      <c r="X243" s="18"/>
      <c r="Y243" s="18"/>
    </row>
    <row r="244">
      <c r="M244" s="17"/>
      <c r="W244" s="18"/>
      <c r="X244" s="18"/>
      <c r="Y244" s="18"/>
    </row>
    <row r="245">
      <c r="M245" s="17"/>
      <c r="W245" s="18"/>
      <c r="X245" s="18"/>
      <c r="Y245" s="18"/>
    </row>
    <row r="246">
      <c r="M246" s="17"/>
      <c r="W246" s="18"/>
      <c r="X246" s="18"/>
      <c r="Y246" s="18"/>
    </row>
    <row r="247">
      <c r="M247" s="17"/>
      <c r="W247" s="18"/>
      <c r="X247" s="18"/>
      <c r="Y247" s="18"/>
    </row>
    <row r="248">
      <c r="M248" s="17"/>
      <c r="W248" s="18"/>
      <c r="X248" s="18"/>
      <c r="Y248" s="18"/>
    </row>
    <row r="249">
      <c r="M249" s="17"/>
      <c r="W249" s="18"/>
      <c r="X249" s="18"/>
      <c r="Y249" s="18"/>
    </row>
    <row r="250">
      <c r="M250" s="17"/>
      <c r="W250" s="18"/>
      <c r="X250" s="18"/>
      <c r="Y250" s="18"/>
    </row>
    <row r="251">
      <c r="M251" s="17"/>
      <c r="W251" s="18"/>
      <c r="X251" s="18"/>
      <c r="Y251" s="18"/>
    </row>
    <row r="252">
      <c r="M252" s="17"/>
      <c r="W252" s="18"/>
      <c r="X252" s="18"/>
      <c r="Y252" s="18"/>
    </row>
    <row r="253">
      <c r="M253" s="17"/>
      <c r="W253" s="18"/>
      <c r="X253" s="18"/>
      <c r="Y253" s="18"/>
    </row>
    <row r="254">
      <c r="M254" s="17"/>
      <c r="W254" s="18"/>
      <c r="X254" s="18"/>
      <c r="Y254" s="18"/>
    </row>
    <row r="255">
      <c r="M255" s="17"/>
      <c r="W255" s="18"/>
      <c r="X255" s="18"/>
      <c r="Y255" s="18"/>
    </row>
    <row r="256">
      <c r="M256" s="17"/>
      <c r="W256" s="18"/>
      <c r="X256" s="18"/>
      <c r="Y256" s="18"/>
    </row>
    <row r="257">
      <c r="M257" s="17"/>
      <c r="W257" s="18"/>
      <c r="X257" s="18"/>
      <c r="Y257" s="18"/>
    </row>
    <row r="258">
      <c r="M258" s="17"/>
      <c r="W258" s="18"/>
      <c r="X258" s="18"/>
      <c r="Y258" s="18"/>
    </row>
    <row r="259">
      <c r="M259" s="17"/>
      <c r="W259" s="18"/>
      <c r="X259" s="18"/>
      <c r="Y259" s="18"/>
    </row>
    <row r="260">
      <c r="M260" s="17"/>
      <c r="W260" s="18"/>
      <c r="X260" s="18"/>
      <c r="Y260" s="18"/>
    </row>
    <row r="261">
      <c r="M261" s="17"/>
      <c r="W261" s="18"/>
      <c r="X261" s="18"/>
      <c r="Y261" s="18"/>
    </row>
    <row r="262">
      <c r="M262" s="17"/>
      <c r="W262" s="18"/>
      <c r="X262" s="18"/>
      <c r="Y262" s="18"/>
    </row>
    <row r="263">
      <c r="M263" s="17"/>
      <c r="W263" s="18"/>
      <c r="X263" s="18"/>
      <c r="Y263" s="18"/>
    </row>
    <row r="264">
      <c r="M264" s="17"/>
      <c r="W264" s="18"/>
      <c r="X264" s="18"/>
      <c r="Y264" s="18"/>
    </row>
    <row r="265">
      <c r="M265" s="17"/>
      <c r="W265" s="18"/>
      <c r="X265" s="18"/>
      <c r="Y265" s="18"/>
    </row>
    <row r="266">
      <c r="M266" s="17"/>
      <c r="W266" s="18"/>
      <c r="X266" s="18"/>
      <c r="Y266" s="18"/>
    </row>
    <row r="267">
      <c r="M267" s="17"/>
      <c r="W267" s="18"/>
      <c r="X267" s="18"/>
      <c r="Y267" s="18"/>
    </row>
    <row r="268">
      <c r="M268" s="17"/>
      <c r="W268" s="18"/>
      <c r="X268" s="18"/>
      <c r="Y268" s="18"/>
    </row>
    <row r="269">
      <c r="M269" s="17"/>
      <c r="W269" s="18"/>
      <c r="X269" s="18"/>
      <c r="Y269" s="18"/>
    </row>
    <row r="270">
      <c r="M270" s="17"/>
      <c r="W270" s="18"/>
      <c r="X270" s="18"/>
      <c r="Y270" s="18"/>
    </row>
    <row r="271">
      <c r="M271" s="17"/>
      <c r="W271" s="18"/>
      <c r="X271" s="18"/>
      <c r="Y271" s="18"/>
    </row>
    <row r="272">
      <c r="M272" s="17"/>
      <c r="W272" s="18"/>
      <c r="X272" s="18"/>
      <c r="Y272" s="18"/>
    </row>
    <row r="273">
      <c r="M273" s="17"/>
      <c r="W273" s="18"/>
      <c r="X273" s="18"/>
      <c r="Y273" s="18"/>
    </row>
    <row r="274">
      <c r="M274" s="17"/>
      <c r="W274" s="18"/>
      <c r="X274" s="18"/>
      <c r="Y274" s="18"/>
    </row>
    <row r="275">
      <c r="M275" s="17"/>
      <c r="W275" s="18"/>
      <c r="X275" s="18"/>
      <c r="Y275" s="18"/>
    </row>
    <row r="276">
      <c r="M276" s="17"/>
      <c r="W276" s="18"/>
      <c r="X276" s="18"/>
      <c r="Y276" s="18"/>
    </row>
    <row r="277">
      <c r="M277" s="17"/>
      <c r="W277" s="18"/>
      <c r="X277" s="18"/>
      <c r="Y277" s="18"/>
    </row>
    <row r="278">
      <c r="M278" s="17"/>
      <c r="W278" s="18"/>
      <c r="X278" s="18"/>
      <c r="Y278" s="18"/>
    </row>
    <row r="279">
      <c r="M279" s="17"/>
      <c r="W279" s="18"/>
      <c r="X279" s="18"/>
      <c r="Y279" s="18"/>
    </row>
    <row r="280">
      <c r="M280" s="17"/>
      <c r="W280" s="18"/>
      <c r="X280" s="18"/>
      <c r="Y280" s="18"/>
    </row>
    <row r="281">
      <c r="M281" s="17"/>
      <c r="W281" s="18"/>
      <c r="X281" s="18"/>
      <c r="Y281" s="18"/>
    </row>
    <row r="282">
      <c r="M282" s="17"/>
      <c r="W282" s="18"/>
      <c r="X282" s="18"/>
      <c r="Y282" s="18"/>
    </row>
    <row r="283">
      <c r="M283" s="17"/>
      <c r="W283" s="18"/>
      <c r="X283" s="18"/>
      <c r="Y283" s="18"/>
    </row>
    <row r="284">
      <c r="M284" s="17"/>
      <c r="W284" s="18"/>
      <c r="X284" s="18"/>
      <c r="Y284" s="18"/>
    </row>
    <row r="285">
      <c r="M285" s="17"/>
      <c r="W285" s="18"/>
      <c r="X285" s="18"/>
      <c r="Y285" s="18"/>
    </row>
    <row r="286">
      <c r="M286" s="17"/>
      <c r="W286" s="18"/>
      <c r="X286" s="18"/>
      <c r="Y286" s="18"/>
    </row>
    <row r="287">
      <c r="M287" s="17"/>
      <c r="W287" s="18"/>
      <c r="X287" s="18"/>
      <c r="Y287" s="18"/>
    </row>
    <row r="288">
      <c r="M288" s="17"/>
      <c r="W288" s="18"/>
      <c r="X288" s="18"/>
      <c r="Y288" s="18"/>
    </row>
    <row r="289">
      <c r="M289" s="17"/>
      <c r="W289" s="18"/>
      <c r="X289" s="18"/>
      <c r="Y289" s="18"/>
    </row>
    <row r="290">
      <c r="M290" s="17"/>
      <c r="W290" s="18"/>
      <c r="X290" s="18"/>
      <c r="Y290" s="18"/>
    </row>
    <row r="291">
      <c r="M291" s="17"/>
      <c r="W291" s="18"/>
      <c r="X291" s="18"/>
      <c r="Y291" s="18"/>
    </row>
    <row r="292">
      <c r="M292" s="17"/>
      <c r="W292" s="18"/>
      <c r="X292" s="18"/>
      <c r="Y292" s="18"/>
    </row>
    <row r="293">
      <c r="M293" s="17"/>
      <c r="W293" s="18"/>
      <c r="X293" s="18"/>
      <c r="Y293" s="18"/>
    </row>
    <row r="294">
      <c r="M294" s="17"/>
      <c r="W294" s="18"/>
      <c r="X294" s="18"/>
      <c r="Y294" s="18"/>
    </row>
    <row r="295">
      <c r="M295" s="17"/>
      <c r="W295" s="18"/>
      <c r="X295" s="18"/>
      <c r="Y295" s="18"/>
    </row>
    <row r="296">
      <c r="M296" s="17"/>
      <c r="W296" s="18"/>
      <c r="X296" s="18"/>
      <c r="Y296" s="18"/>
    </row>
    <row r="297">
      <c r="M297" s="17"/>
      <c r="W297" s="18"/>
      <c r="X297" s="18"/>
      <c r="Y297" s="18"/>
    </row>
    <row r="298">
      <c r="M298" s="17"/>
      <c r="W298" s="18"/>
      <c r="X298" s="18"/>
      <c r="Y298" s="18"/>
    </row>
    <row r="299">
      <c r="M299" s="17"/>
      <c r="W299" s="18"/>
      <c r="X299" s="18"/>
      <c r="Y299" s="18"/>
    </row>
    <row r="300">
      <c r="M300" s="17"/>
      <c r="W300" s="18"/>
      <c r="X300" s="18"/>
      <c r="Y300" s="18"/>
    </row>
    <row r="301">
      <c r="M301" s="17"/>
      <c r="W301" s="18"/>
      <c r="X301" s="18"/>
      <c r="Y301" s="18"/>
    </row>
    <row r="302">
      <c r="M302" s="17"/>
      <c r="W302" s="18"/>
      <c r="X302" s="18"/>
      <c r="Y302" s="18"/>
    </row>
    <row r="303">
      <c r="M303" s="17"/>
      <c r="W303" s="18"/>
      <c r="X303" s="18"/>
      <c r="Y303" s="18"/>
    </row>
    <row r="304">
      <c r="M304" s="17"/>
      <c r="W304" s="18"/>
      <c r="X304" s="18"/>
      <c r="Y304" s="18"/>
    </row>
    <row r="305">
      <c r="M305" s="17"/>
      <c r="W305" s="18"/>
      <c r="X305" s="18"/>
      <c r="Y305" s="18"/>
    </row>
    <row r="306">
      <c r="M306" s="17"/>
      <c r="W306" s="18"/>
      <c r="X306" s="18"/>
      <c r="Y306" s="18"/>
    </row>
    <row r="307">
      <c r="M307" s="17"/>
      <c r="W307" s="18"/>
      <c r="X307" s="18"/>
      <c r="Y307" s="18"/>
    </row>
    <row r="308">
      <c r="M308" s="17"/>
      <c r="W308" s="18"/>
      <c r="X308" s="18"/>
      <c r="Y308" s="18"/>
    </row>
    <row r="309">
      <c r="M309" s="17"/>
      <c r="W309" s="18"/>
      <c r="X309" s="18"/>
      <c r="Y309" s="18"/>
    </row>
    <row r="310">
      <c r="M310" s="17"/>
      <c r="W310" s="18"/>
      <c r="X310" s="18"/>
      <c r="Y310" s="18"/>
    </row>
    <row r="311">
      <c r="M311" s="17"/>
      <c r="W311" s="18"/>
      <c r="X311" s="18"/>
      <c r="Y311" s="18"/>
    </row>
    <row r="312">
      <c r="M312" s="17"/>
      <c r="W312" s="18"/>
      <c r="X312" s="18"/>
      <c r="Y312" s="18"/>
    </row>
    <row r="313">
      <c r="M313" s="17"/>
      <c r="W313" s="18"/>
      <c r="X313" s="18"/>
      <c r="Y313" s="18"/>
    </row>
    <row r="314">
      <c r="M314" s="17"/>
      <c r="W314" s="18"/>
      <c r="X314" s="18"/>
      <c r="Y314" s="18"/>
    </row>
    <row r="315">
      <c r="M315" s="17"/>
      <c r="W315" s="18"/>
      <c r="X315" s="18"/>
      <c r="Y315" s="18"/>
    </row>
    <row r="316">
      <c r="M316" s="17"/>
      <c r="W316" s="18"/>
      <c r="X316" s="18"/>
      <c r="Y316" s="18"/>
    </row>
    <row r="317">
      <c r="M317" s="17"/>
      <c r="W317" s="18"/>
      <c r="X317" s="18"/>
      <c r="Y317" s="18"/>
    </row>
    <row r="318">
      <c r="M318" s="17"/>
      <c r="W318" s="18"/>
      <c r="X318" s="18"/>
      <c r="Y318" s="18"/>
    </row>
    <row r="319">
      <c r="M319" s="17"/>
      <c r="W319" s="18"/>
      <c r="X319" s="18"/>
      <c r="Y319" s="18"/>
    </row>
    <row r="320">
      <c r="M320" s="17"/>
      <c r="W320" s="18"/>
      <c r="X320" s="18"/>
      <c r="Y320" s="18"/>
    </row>
    <row r="321">
      <c r="M321" s="17"/>
      <c r="W321" s="18"/>
      <c r="X321" s="18"/>
      <c r="Y321" s="18"/>
    </row>
    <row r="322">
      <c r="M322" s="17"/>
      <c r="W322" s="18"/>
      <c r="X322" s="18"/>
      <c r="Y322" s="18"/>
    </row>
    <row r="323">
      <c r="M323" s="17"/>
      <c r="W323" s="18"/>
      <c r="X323" s="18"/>
      <c r="Y323" s="18"/>
    </row>
    <row r="324">
      <c r="M324" s="17"/>
      <c r="W324" s="18"/>
      <c r="X324" s="18"/>
      <c r="Y324" s="18"/>
    </row>
    <row r="325">
      <c r="M325" s="17"/>
      <c r="W325" s="18"/>
      <c r="X325" s="18"/>
      <c r="Y325" s="18"/>
    </row>
    <row r="326">
      <c r="M326" s="17"/>
      <c r="W326" s="18"/>
      <c r="X326" s="18"/>
      <c r="Y326" s="18"/>
    </row>
    <row r="327">
      <c r="M327" s="17"/>
      <c r="W327" s="18"/>
      <c r="X327" s="18"/>
      <c r="Y327" s="18"/>
    </row>
    <row r="328">
      <c r="M328" s="17"/>
      <c r="W328" s="18"/>
      <c r="X328" s="18"/>
      <c r="Y328" s="18"/>
    </row>
    <row r="329">
      <c r="M329" s="17"/>
      <c r="W329" s="18"/>
      <c r="X329" s="18"/>
      <c r="Y329" s="18"/>
    </row>
    <row r="330">
      <c r="M330" s="17"/>
      <c r="W330" s="18"/>
      <c r="X330" s="18"/>
      <c r="Y330" s="18"/>
    </row>
    <row r="331">
      <c r="M331" s="17"/>
      <c r="W331" s="18"/>
      <c r="X331" s="18"/>
      <c r="Y331" s="18"/>
    </row>
    <row r="332">
      <c r="M332" s="17"/>
      <c r="W332" s="18"/>
      <c r="X332" s="18"/>
      <c r="Y332" s="18"/>
    </row>
    <row r="333">
      <c r="M333" s="17"/>
      <c r="W333" s="18"/>
      <c r="X333" s="18"/>
      <c r="Y333" s="18"/>
    </row>
    <row r="334">
      <c r="M334" s="17"/>
      <c r="W334" s="18"/>
      <c r="X334" s="18"/>
      <c r="Y334" s="18"/>
    </row>
    <row r="335">
      <c r="M335" s="17"/>
      <c r="W335" s="18"/>
      <c r="X335" s="18"/>
      <c r="Y335" s="18"/>
    </row>
    <row r="336">
      <c r="M336" s="17"/>
      <c r="W336" s="18"/>
      <c r="X336" s="18"/>
      <c r="Y336" s="18"/>
    </row>
    <row r="337">
      <c r="M337" s="17"/>
      <c r="W337" s="18"/>
      <c r="X337" s="18"/>
      <c r="Y337" s="18"/>
    </row>
    <row r="338">
      <c r="M338" s="17"/>
      <c r="W338" s="18"/>
      <c r="X338" s="18"/>
      <c r="Y338" s="18"/>
    </row>
    <row r="339">
      <c r="M339" s="17"/>
      <c r="W339" s="18"/>
      <c r="X339" s="18"/>
      <c r="Y339" s="18"/>
    </row>
    <row r="340">
      <c r="M340" s="17"/>
      <c r="W340" s="18"/>
      <c r="X340" s="18"/>
      <c r="Y340" s="18"/>
    </row>
    <row r="341">
      <c r="M341" s="17"/>
      <c r="W341" s="18"/>
      <c r="X341" s="18"/>
      <c r="Y341" s="18"/>
    </row>
    <row r="342">
      <c r="M342" s="17"/>
      <c r="W342" s="18"/>
      <c r="X342" s="18"/>
      <c r="Y342" s="18"/>
    </row>
    <row r="343">
      <c r="M343" s="17"/>
      <c r="W343" s="18"/>
      <c r="X343" s="18"/>
      <c r="Y343" s="18"/>
    </row>
    <row r="344">
      <c r="M344" s="17"/>
      <c r="W344" s="18"/>
      <c r="X344" s="18"/>
      <c r="Y344" s="18"/>
    </row>
    <row r="345">
      <c r="M345" s="17"/>
      <c r="W345" s="18"/>
      <c r="X345" s="18"/>
      <c r="Y345" s="18"/>
    </row>
    <row r="346">
      <c r="M346" s="17"/>
      <c r="W346" s="18"/>
      <c r="X346" s="18"/>
      <c r="Y346" s="18"/>
    </row>
    <row r="347">
      <c r="M347" s="17"/>
      <c r="W347" s="18"/>
      <c r="X347" s="18"/>
      <c r="Y347" s="18"/>
    </row>
    <row r="348">
      <c r="M348" s="17"/>
      <c r="W348" s="18"/>
      <c r="X348" s="18"/>
      <c r="Y348" s="18"/>
    </row>
    <row r="349">
      <c r="M349" s="17"/>
      <c r="W349" s="18"/>
      <c r="X349" s="18"/>
      <c r="Y349" s="18"/>
    </row>
    <row r="350">
      <c r="M350" s="17"/>
      <c r="W350" s="18"/>
      <c r="X350" s="18"/>
      <c r="Y350" s="18"/>
    </row>
    <row r="351">
      <c r="M351" s="17"/>
      <c r="W351" s="18"/>
      <c r="X351" s="18"/>
      <c r="Y351" s="18"/>
    </row>
    <row r="352">
      <c r="M352" s="17"/>
      <c r="W352" s="18"/>
      <c r="X352" s="18"/>
      <c r="Y352" s="18"/>
    </row>
    <row r="353">
      <c r="M353" s="17"/>
      <c r="W353" s="18"/>
      <c r="X353" s="18"/>
      <c r="Y353" s="18"/>
    </row>
    <row r="354">
      <c r="M354" s="17"/>
      <c r="W354" s="18"/>
      <c r="X354" s="18"/>
      <c r="Y354" s="18"/>
    </row>
    <row r="355">
      <c r="M355" s="17"/>
      <c r="W355" s="18"/>
      <c r="X355" s="18"/>
      <c r="Y355" s="18"/>
    </row>
    <row r="356">
      <c r="M356" s="17"/>
      <c r="W356" s="18"/>
      <c r="X356" s="18"/>
      <c r="Y356" s="18"/>
    </row>
    <row r="357">
      <c r="M357" s="17"/>
      <c r="W357" s="18"/>
      <c r="X357" s="18"/>
      <c r="Y357" s="18"/>
    </row>
    <row r="358">
      <c r="M358" s="17"/>
      <c r="W358" s="18"/>
      <c r="X358" s="18"/>
      <c r="Y358" s="18"/>
    </row>
    <row r="359">
      <c r="M359" s="17"/>
      <c r="W359" s="18"/>
      <c r="X359" s="18"/>
      <c r="Y359" s="18"/>
    </row>
    <row r="360">
      <c r="M360" s="17"/>
      <c r="W360" s="18"/>
      <c r="X360" s="18"/>
      <c r="Y360" s="18"/>
    </row>
    <row r="361">
      <c r="M361" s="17"/>
      <c r="W361" s="18"/>
      <c r="X361" s="18"/>
      <c r="Y361" s="18"/>
    </row>
    <row r="362">
      <c r="M362" s="17"/>
      <c r="W362" s="18"/>
      <c r="X362" s="18"/>
      <c r="Y362" s="18"/>
    </row>
    <row r="363">
      <c r="M363" s="17"/>
      <c r="W363" s="18"/>
      <c r="X363" s="18"/>
      <c r="Y363" s="18"/>
    </row>
    <row r="364">
      <c r="M364" s="17"/>
      <c r="W364" s="18"/>
      <c r="X364" s="18"/>
      <c r="Y364" s="18"/>
    </row>
    <row r="365">
      <c r="M365" s="17"/>
      <c r="W365" s="18"/>
      <c r="X365" s="18"/>
      <c r="Y365" s="18"/>
    </row>
    <row r="366">
      <c r="M366" s="17"/>
      <c r="W366" s="18"/>
      <c r="X366" s="18"/>
      <c r="Y366" s="18"/>
    </row>
    <row r="367">
      <c r="M367" s="17"/>
      <c r="W367" s="18"/>
      <c r="X367" s="18"/>
      <c r="Y367" s="18"/>
    </row>
    <row r="368">
      <c r="M368" s="17"/>
      <c r="W368" s="18"/>
      <c r="X368" s="18"/>
      <c r="Y368" s="18"/>
    </row>
    <row r="369">
      <c r="M369" s="17"/>
      <c r="W369" s="18"/>
      <c r="X369" s="18"/>
      <c r="Y369" s="18"/>
    </row>
    <row r="370">
      <c r="M370" s="17"/>
      <c r="W370" s="18"/>
      <c r="X370" s="18"/>
      <c r="Y370" s="18"/>
    </row>
    <row r="371">
      <c r="M371" s="17"/>
      <c r="W371" s="18"/>
      <c r="X371" s="18"/>
      <c r="Y371" s="18"/>
    </row>
    <row r="372">
      <c r="M372" s="17"/>
      <c r="W372" s="18"/>
      <c r="X372" s="18"/>
      <c r="Y372" s="18"/>
    </row>
    <row r="373">
      <c r="M373" s="17"/>
      <c r="W373" s="18"/>
      <c r="X373" s="18"/>
      <c r="Y373" s="18"/>
    </row>
    <row r="374">
      <c r="M374" s="17"/>
      <c r="W374" s="18"/>
      <c r="X374" s="18"/>
      <c r="Y374" s="18"/>
    </row>
    <row r="375">
      <c r="M375" s="17"/>
      <c r="W375" s="18"/>
      <c r="X375" s="18"/>
      <c r="Y375" s="18"/>
    </row>
    <row r="376">
      <c r="M376" s="17"/>
      <c r="W376" s="18"/>
      <c r="X376" s="18"/>
      <c r="Y376" s="18"/>
    </row>
    <row r="377">
      <c r="M377" s="17"/>
      <c r="W377" s="18"/>
      <c r="X377" s="18"/>
      <c r="Y377" s="18"/>
    </row>
    <row r="378">
      <c r="M378" s="17"/>
      <c r="W378" s="18"/>
      <c r="X378" s="18"/>
      <c r="Y378" s="18"/>
    </row>
    <row r="379">
      <c r="M379" s="17"/>
      <c r="W379" s="18"/>
      <c r="X379" s="18"/>
      <c r="Y379" s="18"/>
    </row>
    <row r="380">
      <c r="M380" s="17"/>
      <c r="W380" s="18"/>
      <c r="X380" s="18"/>
      <c r="Y380" s="18"/>
    </row>
    <row r="381">
      <c r="M381" s="17"/>
      <c r="W381" s="18"/>
      <c r="X381" s="18"/>
      <c r="Y381" s="18"/>
    </row>
    <row r="382">
      <c r="M382" s="17"/>
      <c r="W382" s="18"/>
      <c r="X382" s="18"/>
      <c r="Y382" s="18"/>
    </row>
    <row r="383">
      <c r="M383" s="17"/>
      <c r="W383" s="18"/>
      <c r="X383" s="18"/>
      <c r="Y383" s="18"/>
    </row>
    <row r="384">
      <c r="M384" s="17"/>
      <c r="W384" s="18"/>
      <c r="X384" s="18"/>
      <c r="Y384" s="18"/>
    </row>
    <row r="385">
      <c r="M385" s="17"/>
      <c r="W385" s="18"/>
      <c r="X385" s="18"/>
      <c r="Y385" s="18"/>
    </row>
    <row r="386">
      <c r="M386" s="17"/>
      <c r="W386" s="18"/>
      <c r="X386" s="18"/>
      <c r="Y386" s="18"/>
    </row>
    <row r="387">
      <c r="M387" s="17"/>
      <c r="W387" s="18"/>
      <c r="X387" s="18"/>
      <c r="Y387" s="18"/>
    </row>
    <row r="388">
      <c r="M388" s="17"/>
      <c r="W388" s="18"/>
      <c r="X388" s="18"/>
      <c r="Y388" s="18"/>
    </row>
    <row r="389">
      <c r="M389" s="17"/>
      <c r="W389" s="18"/>
      <c r="X389" s="18"/>
      <c r="Y389" s="18"/>
    </row>
    <row r="390">
      <c r="M390" s="17"/>
      <c r="W390" s="18"/>
      <c r="X390" s="18"/>
      <c r="Y390" s="18"/>
    </row>
    <row r="391">
      <c r="M391" s="17"/>
      <c r="W391" s="18"/>
      <c r="X391" s="18"/>
      <c r="Y391" s="18"/>
    </row>
    <row r="392">
      <c r="M392" s="17"/>
      <c r="W392" s="18"/>
      <c r="X392" s="18"/>
      <c r="Y392" s="18"/>
    </row>
    <row r="393">
      <c r="M393" s="17"/>
      <c r="W393" s="18"/>
      <c r="X393" s="18"/>
      <c r="Y393" s="18"/>
    </row>
    <row r="394">
      <c r="M394" s="17"/>
      <c r="W394" s="18"/>
      <c r="X394" s="18"/>
      <c r="Y394" s="18"/>
    </row>
    <row r="395">
      <c r="M395" s="17"/>
      <c r="W395" s="18"/>
      <c r="X395" s="18"/>
      <c r="Y395" s="18"/>
    </row>
    <row r="396">
      <c r="M396" s="17"/>
      <c r="W396" s="18"/>
      <c r="X396" s="18"/>
      <c r="Y396" s="18"/>
    </row>
    <row r="397">
      <c r="M397" s="17"/>
      <c r="W397" s="18"/>
      <c r="X397" s="18"/>
      <c r="Y397" s="18"/>
    </row>
    <row r="398">
      <c r="M398" s="17"/>
      <c r="W398" s="18"/>
      <c r="X398" s="18"/>
      <c r="Y398" s="18"/>
    </row>
    <row r="399">
      <c r="M399" s="17"/>
      <c r="W399" s="18"/>
      <c r="X399" s="18"/>
      <c r="Y399" s="18"/>
    </row>
    <row r="400">
      <c r="M400" s="17"/>
      <c r="W400" s="18"/>
      <c r="X400" s="18"/>
      <c r="Y400" s="18"/>
    </row>
    <row r="401">
      <c r="M401" s="17"/>
      <c r="W401" s="18"/>
      <c r="X401" s="18"/>
      <c r="Y401" s="18"/>
    </row>
    <row r="402">
      <c r="M402" s="17"/>
      <c r="W402" s="18"/>
      <c r="X402" s="18"/>
      <c r="Y402" s="18"/>
    </row>
    <row r="403">
      <c r="M403" s="17"/>
      <c r="W403" s="18"/>
      <c r="X403" s="18"/>
      <c r="Y403" s="18"/>
    </row>
    <row r="404">
      <c r="M404" s="17"/>
      <c r="W404" s="18"/>
      <c r="X404" s="18"/>
      <c r="Y404" s="18"/>
    </row>
    <row r="405">
      <c r="M405" s="17"/>
      <c r="W405" s="18"/>
      <c r="X405" s="18"/>
      <c r="Y405" s="18"/>
    </row>
    <row r="406">
      <c r="M406" s="17"/>
      <c r="W406" s="18"/>
      <c r="X406" s="18"/>
      <c r="Y406" s="18"/>
    </row>
    <row r="407">
      <c r="M407" s="17"/>
      <c r="W407" s="18"/>
      <c r="X407" s="18"/>
      <c r="Y407" s="18"/>
    </row>
    <row r="408">
      <c r="M408" s="17"/>
      <c r="W408" s="18"/>
      <c r="X408" s="18"/>
      <c r="Y408" s="18"/>
    </row>
    <row r="409">
      <c r="M409" s="17"/>
      <c r="W409" s="18"/>
      <c r="X409" s="18"/>
      <c r="Y409" s="18"/>
    </row>
    <row r="410">
      <c r="M410" s="17"/>
      <c r="W410" s="18"/>
      <c r="X410" s="18"/>
      <c r="Y410" s="18"/>
    </row>
    <row r="411">
      <c r="M411" s="17"/>
      <c r="W411" s="18"/>
      <c r="X411" s="18"/>
      <c r="Y411" s="18"/>
    </row>
    <row r="412">
      <c r="M412" s="17"/>
      <c r="W412" s="18"/>
      <c r="X412" s="18"/>
      <c r="Y412" s="18"/>
    </row>
    <row r="413">
      <c r="M413" s="17"/>
      <c r="W413" s="18"/>
      <c r="X413" s="18"/>
      <c r="Y413" s="18"/>
    </row>
    <row r="414">
      <c r="M414" s="17"/>
      <c r="W414" s="18"/>
      <c r="X414" s="18"/>
      <c r="Y414" s="18"/>
    </row>
    <row r="415">
      <c r="M415" s="17"/>
      <c r="W415" s="18"/>
      <c r="X415" s="18"/>
      <c r="Y415" s="18"/>
    </row>
    <row r="416">
      <c r="M416" s="17"/>
      <c r="W416" s="18"/>
      <c r="X416" s="18"/>
      <c r="Y416" s="18"/>
    </row>
    <row r="417">
      <c r="M417" s="17"/>
      <c r="W417" s="18"/>
      <c r="X417" s="18"/>
      <c r="Y417" s="18"/>
    </row>
    <row r="418">
      <c r="M418" s="17"/>
      <c r="W418" s="18"/>
      <c r="X418" s="18"/>
      <c r="Y418" s="18"/>
    </row>
    <row r="419">
      <c r="M419" s="17"/>
      <c r="W419" s="18"/>
      <c r="X419" s="18"/>
      <c r="Y419" s="18"/>
    </row>
    <row r="420">
      <c r="M420" s="17"/>
      <c r="W420" s="18"/>
      <c r="X420" s="18"/>
      <c r="Y420" s="18"/>
    </row>
    <row r="421">
      <c r="M421" s="17"/>
      <c r="W421" s="18"/>
      <c r="X421" s="18"/>
      <c r="Y421" s="18"/>
    </row>
    <row r="422">
      <c r="M422" s="17"/>
      <c r="W422" s="18"/>
      <c r="X422" s="18"/>
      <c r="Y422" s="18"/>
    </row>
    <row r="423">
      <c r="M423" s="17"/>
      <c r="W423" s="18"/>
      <c r="X423" s="18"/>
      <c r="Y423" s="18"/>
    </row>
    <row r="424">
      <c r="M424" s="17"/>
      <c r="W424" s="18"/>
      <c r="X424" s="18"/>
      <c r="Y424" s="18"/>
    </row>
    <row r="425">
      <c r="M425" s="17"/>
      <c r="W425" s="18"/>
      <c r="X425" s="18"/>
      <c r="Y425" s="18"/>
    </row>
    <row r="426">
      <c r="M426" s="17"/>
      <c r="W426" s="18"/>
      <c r="X426" s="18"/>
      <c r="Y426" s="18"/>
    </row>
    <row r="427">
      <c r="M427" s="17"/>
      <c r="W427" s="18"/>
      <c r="X427" s="18"/>
      <c r="Y427" s="18"/>
    </row>
    <row r="428">
      <c r="M428" s="17"/>
      <c r="W428" s="18"/>
      <c r="X428" s="18"/>
      <c r="Y428" s="18"/>
    </row>
    <row r="429">
      <c r="M429" s="17"/>
      <c r="W429" s="18"/>
      <c r="X429" s="18"/>
      <c r="Y429" s="18"/>
    </row>
    <row r="430">
      <c r="M430" s="17"/>
      <c r="W430" s="18"/>
      <c r="X430" s="18"/>
      <c r="Y430" s="18"/>
    </row>
    <row r="431">
      <c r="M431" s="17"/>
      <c r="W431" s="18"/>
      <c r="X431" s="18"/>
      <c r="Y431" s="18"/>
    </row>
    <row r="432">
      <c r="M432" s="17"/>
      <c r="W432" s="18"/>
      <c r="X432" s="18"/>
      <c r="Y432" s="18"/>
    </row>
    <row r="433">
      <c r="M433" s="17"/>
      <c r="W433" s="18"/>
      <c r="X433" s="18"/>
      <c r="Y433" s="18"/>
    </row>
    <row r="434">
      <c r="M434" s="17"/>
      <c r="W434" s="18"/>
      <c r="X434" s="18"/>
      <c r="Y434" s="18"/>
    </row>
    <row r="435">
      <c r="M435" s="17"/>
      <c r="W435" s="18"/>
      <c r="X435" s="18"/>
      <c r="Y435" s="18"/>
    </row>
    <row r="436">
      <c r="M436" s="17"/>
      <c r="W436" s="18"/>
      <c r="X436" s="18"/>
      <c r="Y436" s="18"/>
    </row>
    <row r="437">
      <c r="M437" s="17"/>
      <c r="W437" s="18"/>
      <c r="X437" s="18"/>
      <c r="Y437" s="18"/>
    </row>
    <row r="438">
      <c r="M438" s="17"/>
      <c r="W438" s="18"/>
      <c r="X438" s="18"/>
      <c r="Y438" s="18"/>
    </row>
    <row r="439">
      <c r="M439" s="17"/>
      <c r="W439" s="18"/>
      <c r="X439" s="18"/>
      <c r="Y439" s="18"/>
    </row>
    <row r="440">
      <c r="M440" s="17"/>
      <c r="W440" s="18"/>
      <c r="X440" s="18"/>
      <c r="Y440" s="18"/>
    </row>
    <row r="441">
      <c r="M441" s="17"/>
      <c r="W441" s="18"/>
      <c r="X441" s="18"/>
      <c r="Y441" s="18"/>
    </row>
    <row r="442">
      <c r="M442" s="17"/>
      <c r="W442" s="18"/>
      <c r="X442" s="18"/>
      <c r="Y442" s="18"/>
    </row>
    <row r="443">
      <c r="M443" s="17"/>
      <c r="W443" s="18"/>
      <c r="X443" s="18"/>
      <c r="Y443" s="18"/>
    </row>
    <row r="444">
      <c r="M444" s="17"/>
      <c r="W444" s="18"/>
      <c r="X444" s="18"/>
      <c r="Y444" s="18"/>
    </row>
    <row r="445">
      <c r="M445" s="17"/>
      <c r="W445" s="18"/>
      <c r="X445" s="18"/>
      <c r="Y445" s="18"/>
    </row>
    <row r="446">
      <c r="M446" s="17"/>
      <c r="W446" s="18"/>
      <c r="X446" s="18"/>
      <c r="Y446" s="18"/>
    </row>
    <row r="447">
      <c r="M447" s="17"/>
      <c r="W447" s="18"/>
      <c r="X447" s="18"/>
      <c r="Y447" s="18"/>
    </row>
    <row r="448">
      <c r="M448" s="17"/>
      <c r="W448" s="18"/>
      <c r="X448" s="18"/>
      <c r="Y448" s="18"/>
    </row>
    <row r="449">
      <c r="M449" s="17"/>
      <c r="W449" s="18"/>
      <c r="X449" s="18"/>
      <c r="Y449" s="18"/>
    </row>
    <row r="450">
      <c r="M450" s="17"/>
      <c r="W450" s="18"/>
      <c r="X450" s="18"/>
      <c r="Y450" s="18"/>
    </row>
    <row r="451">
      <c r="M451" s="17"/>
      <c r="W451" s="18"/>
      <c r="X451" s="18"/>
      <c r="Y451" s="18"/>
    </row>
    <row r="452">
      <c r="M452" s="17"/>
      <c r="W452" s="18"/>
      <c r="X452" s="18"/>
      <c r="Y452" s="18"/>
    </row>
    <row r="453">
      <c r="M453" s="17"/>
      <c r="W453" s="18"/>
      <c r="X453" s="18"/>
      <c r="Y453" s="18"/>
    </row>
    <row r="454">
      <c r="M454" s="17"/>
      <c r="W454" s="18"/>
      <c r="X454" s="18"/>
      <c r="Y454" s="18"/>
    </row>
    <row r="455">
      <c r="M455" s="17"/>
      <c r="W455" s="18"/>
      <c r="X455" s="18"/>
      <c r="Y455" s="18"/>
    </row>
    <row r="456">
      <c r="M456" s="17"/>
      <c r="W456" s="18"/>
      <c r="X456" s="18"/>
      <c r="Y456" s="18"/>
    </row>
    <row r="457">
      <c r="M457" s="17"/>
      <c r="W457" s="18"/>
      <c r="X457" s="18"/>
      <c r="Y457" s="18"/>
    </row>
    <row r="458">
      <c r="M458" s="17"/>
      <c r="W458" s="18"/>
      <c r="X458" s="18"/>
      <c r="Y458" s="18"/>
    </row>
    <row r="459">
      <c r="M459" s="17"/>
      <c r="W459" s="18"/>
      <c r="X459" s="18"/>
      <c r="Y459" s="18"/>
    </row>
    <row r="460">
      <c r="M460" s="17"/>
      <c r="W460" s="18"/>
      <c r="X460" s="18"/>
      <c r="Y460" s="18"/>
    </row>
    <row r="461">
      <c r="M461" s="17"/>
      <c r="W461" s="18"/>
      <c r="X461" s="18"/>
      <c r="Y461" s="18"/>
    </row>
    <row r="462">
      <c r="M462" s="17"/>
      <c r="W462" s="18"/>
      <c r="X462" s="18"/>
      <c r="Y462" s="18"/>
    </row>
    <row r="463">
      <c r="M463" s="17"/>
      <c r="W463" s="18"/>
      <c r="X463" s="18"/>
      <c r="Y463" s="18"/>
    </row>
    <row r="464">
      <c r="M464" s="17"/>
      <c r="W464" s="18"/>
      <c r="X464" s="18"/>
      <c r="Y464" s="18"/>
    </row>
    <row r="465">
      <c r="M465" s="17"/>
      <c r="W465" s="18"/>
      <c r="X465" s="18"/>
      <c r="Y465" s="18"/>
    </row>
    <row r="466">
      <c r="M466" s="17"/>
      <c r="W466" s="18"/>
      <c r="X466" s="18"/>
      <c r="Y466" s="18"/>
    </row>
    <row r="467">
      <c r="M467" s="17"/>
      <c r="W467" s="18"/>
      <c r="X467" s="18"/>
      <c r="Y467" s="18"/>
    </row>
    <row r="468">
      <c r="M468" s="17"/>
      <c r="W468" s="18"/>
      <c r="X468" s="18"/>
      <c r="Y468" s="18"/>
    </row>
    <row r="469">
      <c r="M469" s="17"/>
      <c r="W469" s="18"/>
      <c r="X469" s="18"/>
      <c r="Y469" s="18"/>
    </row>
    <row r="470">
      <c r="M470" s="17"/>
      <c r="W470" s="18"/>
      <c r="X470" s="18"/>
      <c r="Y470" s="18"/>
    </row>
    <row r="471">
      <c r="M471" s="17"/>
      <c r="W471" s="18"/>
      <c r="X471" s="18"/>
      <c r="Y471" s="18"/>
    </row>
    <row r="472">
      <c r="M472" s="17"/>
      <c r="W472" s="18"/>
      <c r="X472" s="18"/>
      <c r="Y472" s="18"/>
    </row>
    <row r="473">
      <c r="M473" s="17"/>
      <c r="W473" s="18"/>
      <c r="X473" s="18"/>
      <c r="Y473" s="18"/>
    </row>
    <row r="474">
      <c r="M474" s="17"/>
      <c r="W474" s="18"/>
      <c r="X474" s="18"/>
      <c r="Y474" s="18"/>
    </row>
    <row r="475">
      <c r="M475" s="17"/>
      <c r="W475" s="18"/>
      <c r="X475" s="18"/>
      <c r="Y475" s="18"/>
    </row>
    <row r="476">
      <c r="M476" s="17"/>
      <c r="W476" s="18"/>
      <c r="X476" s="18"/>
      <c r="Y476" s="18"/>
    </row>
    <row r="477">
      <c r="M477" s="17"/>
      <c r="W477" s="18"/>
      <c r="X477" s="18"/>
      <c r="Y477" s="18"/>
    </row>
    <row r="478">
      <c r="M478" s="17"/>
      <c r="W478" s="18"/>
      <c r="X478" s="18"/>
      <c r="Y478" s="18"/>
    </row>
    <row r="479">
      <c r="M479" s="17"/>
      <c r="W479" s="18"/>
      <c r="X479" s="18"/>
      <c r="Y479" s="18"/>
    </row>
    <row r="480">
      <c r="M480" s="17"/>
      <c r="W480" s="18"/>
      <c r="X480" s="18"/>
      <c r="Y480" s="18"/>
    </row>
    <row r="481">
      <c r="M481" s="17"/>
      <c r="W481" s="18"/>
      <c r="X481" s="18"/>
      <c r="Y481" s="18"/>
    </row>
    <row r="482">
      <c r="M482" s="17"/>
      <c r="W482" s="18"/>
      <c r="X482" s="18"/>
      <c r="Y482" s="18"/>
    </row>
    <row r="483">
      <c r="M483" s="17"/>
      <c r="W483" s="18"/>
      <c r="X483" s="18"/>
      <c r="Y483" s="18"/>
    </row>
    <row r="484">
      <c r="M484" s="17"/>
      <c r="W484" s="18"/>
      <c r="X484" s="18"/>
      <c r="Y484" s="18"/>
    </row>
    <row r="485">
      <c r="M485" s="17"/>
      <c r="W485" s="18"/>
      <c r="X485" s="18"/>
      <c r="Y485" s="18"/>
    </row>
    <row r="486">
      <c r="M486" s="17"/>
      <c r="W486" s="18"/>
      <c r="X486" s="18"/>
      <c r="Y486" s="18"/>
    </row>
    <row r="487">
      <c r="M487" s="17"/>
      <c r="W487" s="18"/>
      <c r="X487" s="18"/>
      <c r="Y487" s="18"/>
    </row>
    <row r="488">
      <c r="M488" s="17"/>
      <c r="W488" s="18"/>
      <c r="X488" s="18"/>
      <c r="Y488" s="18"/>
    </row>
    <row r="489">
      <c r="M489" s="17"/>
      <c r="W489" s="18"/>
      <c r="X489" s="18"/>
      <c r="Y489" s="18"/>
    </row>
    <row r="490">
      <c r="M490" s="17"/>
      <c r="W490" s="18"/>
      <c r="X490" s="18"/>
      <c r="Y490" s="18"/>
    </row>
    <row r="491">
      <c r="M491" s="17"/>
      <c r="W491" s="18"/>
      <c r="X491" s="18"/>
      <c r="Y491" s="18"/>
    </row>
    <row r="492">
      <c r="M492" s="17"/>
      <c r="W492" s="18"/>
      <c r="X492" s="18"/>
      <c r="Y492" s="18"/>
    </row>
    <row r="493">
      <c r="M493" s="17"/>
      <c r="W493" s="18"/>
      <c r="X493" s="18"/>
      <c r="Y493" s="18"/>
    </row>
    <row r="494">
      <c r="M494" s="17"/>
      <c r="W494" s="18"/>
      <c r="X494" s="18"/>
      <c r="Y494" s="18"/>
    </row>
    <row r="495">
      <c r="M495" s="17"/>
      <c r="W495" s="18"/>
      <c r="X495" s="18"/>
      <c r="Y495" s="18"/>
    </row>
    <row r="496">
      <c r="M496" s="17"/>
      <c r="W496" s="18"/>
      <c r="X496" s="18"/>
      <c r="Y496" s="18"/>
    </row>
    <row r="497">
      <c r="M497" s="17"/>
      <c r="W497" s="18"/>
      <c r="X497" s="18"/>
      <c r="Y497" s="18"/>
    </row>
    <row r="498">
      <c r="M498" s="17"/>
      <c r="W498" s="18"/>
      <c r="X498" s="18"/>
      <c r="Y498" s="18"/>
    </row>
    <row r="499">
      <c r="M499" s="17"/>
      <c r="W499" s="18"/>
      <c r="X499" s="18"/>
      <c r="Y499" s="18"/>
    </row>
    <row r="500">
      <c r="M500" s="17"/>
      <c r="W500" s="18"/>
      <c r="X500" s="18"/>
      <c r="Y500" s="18"/>
    </row>
    <row r="501">
      <c r="M501" s="17"/>
      <c r="W501" s="18"/>
      <c r="X501" s="18"/>
      <c r="Y501" s="18"/>
    </row>
    <row r="502">
      <c r="M502" s="17"/>
      <c r="W502" s="18"/>
      <c r="X502" s="18"/>
      <c r="Y502" s="18"/>
    </row>
    <row r="503">
      <c r="M503" s="17"/>
      <c r="W503" s="18"/>
      <c r="X503" s="18"/>
      <c r="Y503" s="18"/>
    </row>
    <row r="504">
      <c r="M504" s="17"/>
      <c r="W504" s="18"/>
      <c r="X504" s="18"/>
      <c r="Y504" s="18"/>
    </row>
    <row r="505">
      <c r="M505" s="17"/>
      <c r="W505" s="18"/>
      <c r="X505" s="18"/>
      <c r="Y505" s="18"/>
    </row>
    <row r="506">
      <c r="M506" s="17"/>
      <c r="W506" s="18"/>
      <c r="X506" s="18"/>
      <c r="Y506" s="18"/>
    </row>
    <row r="507">
      <c r="M507" s="17"/>
      <c r="W507" s="18"/>
      <c r="X507" s="18"/>
      <c r="Y507" s="18"/>
    </row>
    <row r="508">
      <c r="M508" s="17"/>
      <c r="W508" s="18"/>
      <c r="X508" s="18"/>
      <c r="Y508" s="18"/>
    </row>
    <row r="509">
      <c r="M509" s="17"/>
      <c r="W509" s="18"/>
      <c r="X509" s="18"/>
      <c r="Y509" s="18"/>
    </row>
    <row r="510">
      <c r="M510" s="17"/>
      <c r="W510" s="18"/>
      <c r="X510" s="18"/>
      <c r="Y510" s="18"/>
    </row>
    <row r="511">
      <c r="M511" s="17"/>
      <c r="W511" s="18"/>
      <c r="X511" s="18"/>
      <c r="Y511" s="18"/>
    </row>
    <row r="512">
      <c r="M512" s="17"/>
      <c r="W512" s="18"/>
      <c r="X512" s="18"/>
      <c r="Y512" s="18"/>
    </row>
    <row r="513">
      <c r="M513" s="17"/>
      <c r="W513" s="18"/>
      <c r="X513" s="18"/>
      <c r="Y513" s="18"/>
    </row>
    <row r="514">
      <c r="M514" s="17"/>
      <c r="W514" s="18"/>
      <c r="X514" s="18"/>
      <c r="Y514" s="18"/>
    </row>
    <row r="515">
      <c r="M515" s="17"/>
      <c r="W515" s="18"/>
      <c r="X515" s="18"/>
      <c r="Y515" s="18"/>
    </row>
    <row r="516">
      <c r="M516" s="17"/>
      <c r="W516" s="18"/>
      <c r="X516" s="18"/>
      <c r="Y516" s="18"/>
    </row>
    <row r="517">
      <c r="M517" s="17"/>
      <c r="W517" s="18"/>
      <c r="X517" s="18"/>
      <c r="Y517" s="18"/>
    </row>
    <row r="518">
      <c r="M518" s="17"/>
      <c r="W518" s="18"/>
      <c r="X518" s="18"/>
      <c r="Y518" s="18"/>
    </row>
    <row r="519">
      <c r="M519" s="17"/>
      <c r="W519" s="18"/>
      <c r="X519" s="18"/>
      <c r="Y519" s="18"/>
    </row>
    <row r="520">
      <c r="M520" s="17"/>
      <c r="W520" s="18"/>
      <c r="X520" s="18"/>
      <c r="Y520" s="18"/>
    </row>
    <row r="521">
      <c r="M521" s="17"/>
      <c r="W521" s="18"/>
      <c r="X521" s="18"/>
      <c r="Y521" s="18"/>
    </row>
    <row r="522">
      <c r="M522" s="17"/>
      <c r="W522" s="18"/>
      <c r="X522" s="18"/>
      <c r="Y522" s="18"/>
    </row>
    <row r="523">
      <c r="M523" s="17"/>
      <c r="W523" s="18"/>
      <c r="X523" s="18"/>
      <c r="Y523" s="18"/>
    </row>
    <row r="524">
      <c r="M524" s="17"/>
      <c r="W524" s="18"/>
      <c r="X524" s="18"/>
      <c r="Y524" s="18"/>
    </row>
    <row r="525">
      <c r="M525" s="17"/>
      <c r="W525" s="18"/>
      <c r="X525" s="18"/>
      <c r="Y525" s="18"/>
    </row>
    <row r="526">
      <c r="M526" s="17"/>
      <c r="W526" s="18"/>
      <c r="X526" s="18"/>
      <c r="Y526" s="18"/>
    </row>
    <row r="527">
      <c r="M527" s="17"/>
      <c r="W527" s="18"/>
      <c r="X527" s="18"/>
      <c r="Y527" s="18"/>
    </row>
    <row r="528">
      <c r="M528" s="17"/>
      <c r="W528" s="18"/>
      <c r="X528" s="18"/>
      <c r="Y528" s="18"/>
    </row>
    <row r="529">
      <c r="M529" s="17"/>
      <c r="W529" s="18"/>
      <c r="X529" s="18"/>
      <c r="Y529" s="18"/>
    </row>
    <row r="530">
      <c r="M530" s="17"/>
      <c r="W530" s="18"/>
      <c r="X530" s="18"/>
      <c r="Y530" s="18"/>
    </row>
    <row r="531">
      <c r="M531" s="17"/>
      <c r="W531" s="18"/>
      <c r="X531" s="18"/>
      <c r="Y531" s="18"/>
    </row>
    <row r="532">
      <c r="M532" s="17"/>
      <c r="W532" s="18"/>
      <c r="X532" s="18"/>
      <c r="Y532" s="18"/>
    </row>
    <row r="533">
      <c r="M533" s="17"/>
      <c r="W533" s="18"/>
      <c r="X533" s="18"/>
      <c r="Y533" s="18"/>
    </row>
    <row r="534">
      <c r="M534" s="17"/>
      <c r="W534" s="18"/>
      <c r="X534" s="18"/>
      <c r="Y534" s="18"/>
    </row>
    <row r="535">
      <c r="M535" s="17"/>
      <c r="W535" s="18"/>
      <c r="X535" s="18"/>
      <c r="Y535" s="18"/>
    </row>
    <row r="536">
      <c r="M536" s="17"/>
      <c r="W536" s="18"/>
      <c r="X536" s="18"/>
      <c r="Y536" s="18"/>
    </row>
    <row r="537">
      <c r="M537" s="17"/>
      <c r="W537" s="18"/>
      <c r="X537" s="18"/>
      <c r="Y537" s="18"/>
    </row>
    <row r="538">
      <c r="M538" s="17"/>
      <c r="W538" s="18"/>
      <c r="X538" s="18"/>
      <c r="Y538" s="18"/>
    </row>
    <row r="539">
      <c r="M539" s="17"/>
      <c r="W539" s="18"/>
      <c r="X539" s="18"/>
      <c r="Y539" s="18"/>
    </row>
    <row r="540">
      <c r="M540" s="17"/>
      <c r="W540" s="18"/>
      <c r="X540" s="18"/>
      <c r="Y540" s="18"/>
    </row>
    <row r="541">
      <c r="M541" s="17"/>
      <c r="W541" s="18"/>
      <c r="X541" s="18"/>
      <c r="Y541" s="18"/>
    </row>
    <row r="542">
      <c r="M542" s="17"/>
      <c r="W542" s="18"/>
      <c r="X542" s="18"/>
      <c r="Y542" s="18"/>
    </row>
    <row r="543">
      <c r="M543" s="17"/>
      <c r="W543" s="18"/>
      <c r="X543" s="18"/>
      <c r="Y543" s="18"/>
    </row>
    <row r="544">
      <c r="M544" s="17"/>
      <c r="W544" s="18"/>
      <c r="X544" s="18"/>
      <c r="Y544" s="18"/>
    </row>
    <row r="545">
      <c r="M545" s="17"/>
      <c r="W545" s="18"/>
      <c r="X545" s="18"/>
      <c r="Y545" s="18"/>
    </row>
    <row r="546">
      <c r="M546" s="17"/>
      <c r="W546" s="18"/>
      <c r="X546" s="18"/>
      <c r="Y546" s="18"/>
    </row>
    <row r="547">
      <c r="M547" s="17"/>
      <c r="W547" s="18"/>
      <c r="X547" s="18"/>
      <c r="Y547" s="18"/>
    </row>
    <row r="548">
      <c r="M548" s="17"/>
      <c r="W548" s="18"/>
      <c r="X548" s="18"/>
      <c r="Y548" s="18"/>
    </row>
    <row r="549">
      <c r="M549" s="17"/>
      <c r="W549" s="18"/>
      <c r="X549" s="18"/>
      <c r="Y549" s="18"/>
    </row>
    <row r="550">
      <c r="M550" s="17"/>
      <c r="W550" s="18"/>
      <c r="X550" s="18"/>
      <c r="Y550" s="18"/>
    </row>
    <row r="551">
      <c r="M551" s="17"/>
      <c r="W551" s="18"/>
      <c r="X551" s="18"/>
      <c r="Y551" s="18"/>
    </row>
    <row r="552">
      <c r="M552" s="17"/>
      <c r="W552" s="18"/>
      <c r="X552" s="18"/>
      <c r="Y552" s="18"/>
    </row>
    <row r="553">
      <c r="M553" s="17"/>
      <c r="W553" s="18"/>
      <c r="X553" s="18"/>
      <c r="Y553" s="18"/>
    </row>
    <row r="554">
      <c r="M554" s="17"/>
      <c r="W554" s="18"/>
      <c r="X554" s="18"/>
      <c r="Y554" s="18"/>
    </row>
    <row r="555">
      <c r="M555" s="17"/>
      <c r="W555" s="18"/>
      <c r="X555" s="18"/>
      <c r="Y555" s="18"/>
    </row>
    <row r="556">
      <c r="M556" s="17"/>
      <c r="W556" s="18"/>
      <c r="X556" s="18"/>
      <c r="Y556" s="18"/>
    </row>
    <row r="557">
      <c r="M557" s="17"/>
      <c r="W557" s="18"/>
      <c r="X557" s="18"/>
      <c r="Y557" s="18"/>
    </row>
    <row r="558">
      <c r="M558" s="17"/>
      <c r="W558" s="18"/>
      <c r="X558" s="18"/>
      <c r="Y558" s="18"/>
    </row>
    <row r="559">
      <c r="M559" s="17"/>
      <c r="W559" s="18"/>
      <c r="X559" s="18"/>
      <c r="Y559" s="18"/>
    </row>
    <row r="560">
      <c r="M560" s="17"/>
      <c r="W560" s="18"/>
      <c r="X560" s="18"/>
      <c r="Y560" s="18"/>
    </row>
    <row r="561">
      <c r="M561" s="17"/>
      <c r="W561" s="18"/>
      <c r="X561" s="18"/>
      <c r="Y561" s="18"/>
    </row>
    <row r="562">
      <c r="M562" s="17"/>
      <c r="W562" s="18"/>
      <c r="X562" s="18"/>
      <c r="Y562" s="18"/>
    </row>
    <row r="563">
      <c r="M563" s="17"/>
      <c r="W563" s="18"/>
      <c r="X563" s="18"/>
      <c r="Y563" s="18"/>
    </row>
    <row r="564">
      <c r="M564" s="17"/>
      <c r="W564" s="18"/>
      <c r="X564" s="18"/>
      <c r="Y564" s="18"/>
    </row>
    <row r="565">
      <c r="M565" s="17"/>
      <c r="W565" s="18"/>
      <c r="X565" s="18"/>
      <c r="Y565" s="18"/>
    </row>
    <row r="566">
      <c r="M566" s="17"/>
      <c r="W566" s="18"/>
      <c r="X566" s="18"/>
      <c r="Y566" s="18"/>
    </row>
    <row r="567">
      <c r="M567" s="17"/>
      <c r="W567" s="18"/>
      <c r="X567" s="18"/>
      <c r="Y567" s="18"/>
    </row>
    <row r="568">
      <c r="M568" s="17"/>
      <c r="W568" s="18"/>
      <c r="X568" s="18"/>
      <c r="Y568" s="18"/>
    </row>
    <row r="569">
      <c r="M569" s="17"/>
      <c r="W569" s="18"/>
      <c r="X569" s="18"/>
      <c r="Y569" s="18"/>
    </row>
    <row r="570">
      <c r="M570" s="17"/>
      <c r="W570" s="18"/>
      <c r="X570" s="18"/>
      <c r="Y570" s="18"/>
    </row>
    <row r="571">
      <c r="M571" s="17"/>
      <c r="W571" s="18"/>
      <c r="X571" s="18"/>
      <c r="Y571" s="18"/>
    </row>
    <row r="572">
      <c r="M572" s="17"/>
      <c r="W572" s="18"/>
      <c r="X572" s="18"/>
      <c r="Y572" s="18"/>
    </row>
    <row r="573">
      <c r="M573" s="17"/>
      <c r="W573" s="18"/>
      <c r="X573" s="18"/>
      <c r="Y573" s="18"/>
    </row>
    <row r="574">
      <c r="M574" s="17"/>
      <c r="W574" s="18"/>
      <c r="X574" s="18"/>
      <c r="Y574" s="18"/>
    </row>
    <row r="575">
      <c r="M575" s="17"/>
      <c r="W575" s="18"/>
      <c r="X575" s="18"/>
      <c r="Y575" s="18"/>
    </row>
    <row r="576">
      <c r="M576" s="17"/>
      <c r="W576" s="18"/>
      <c r="X576" s="18"/>
      <c r="Y576" s="18"/>
    </row>
    <row r="577">
      <c r="M577" s="17"/>
      <c r="W577" s="18"/>
      <c r="X577" s="18"/>
      <c r="Y577" s="18"/>
    </row>
    <row r="578">
      <c r="M578" s="17"/>
      <c r="W578" s="18"/>
      <c r="X578" s="18"/>
      <c r="Y578" s="18"/>
    </row>
    <row r="579">
      <c r="M579" s="17"/>
      <c r="W579" s="18"/>
      <c r="X579" s="18"/>
      <c r="Y579" s="18"/>
    </row>
    <row r="580">
      <c r="M580" s="17"/>
      <c r="W580" s="18"/>
      <c r="X580" s="18"/>
      <c r="Y580" s="18"/>
    </row>
    <row r="581">
      <c r="M581" s="17"/>
      <c r="W581" s="18"/>
      <c r="X581" s="18"/>
      <c r="Y581" s="18"/>
    </row>
    <row r="582">
      <c r="M582" s="17"/>
      <c r="W582" s="18"/>
      <c r="X582" s="18"/>
      <c r="Y582" s="18"/>
    </row>
    <row r="583">
      <c r="M583" s="17"/>
      <c r="W583" s="18"/>
      <c r="X583" s="18"/>
      <c r="Y583" s="18"/>
    </row>
    <row r="584">
      <c r="M584" s="17"/>
      <c r="W584" s="18"/>
      <c r="X584" s="18"/>
      <c r="Y584" s="18"/>
    </row>
    <row r="585">
      <c r="M585" s="17"/>
      <c r="W585" s="18"/>
      <c r="X585" s="18"/>
      <c r="Y585" s="18"/>
    </row>
    <row r="586">
      <c r="M586" s="17"/>
      <c r="W586" s="18"/>
      <c r="X586" s="18"/>
      <c r="Y586" s="18"/>
    </row>
    <row r="587">
      <c r="M587" s="17"/>
      <c r="W587" s="18"/>
      <c r="X587" s="18"/>
      <c r="Y587" s="18"/>
    </row>
    <row r="588">
      <c r="M588" s="17"/>
      <c r="W588" s="18"/>
      <c r="X588" s="18"/>
      <c r="Y588" s="18"/>
    </row>
    <row r="589">
      <c r="M589" s="17"/>
      <c r="W589" s="18"/>
      <c r="X589" s="18"/>
      <c r="Y589" s="18"/>
    </row>
    <row r="590">
      <c r="M590" s="17"/>
      <c r="W590" s="18"/>
      <c r="X590" s="18"/>
      <c r="Y590" s="18"/>
    </row>
    <row r="591">
      <c r="M591" s="17"/>
      <c r="W591" s="18"/>
      <c r="X591" s="18"/>
      <c r="Y591" s="18"/>
    </row>
    <row r="592">
      <c r="M592" s="17"/>
      <c r="W592" s="18"/>
      <c r="X592" s="18"/>
      <c r="Y592" s="18"/>
    </row>
    <row r="593">
      <c r="M593" s="17"/>
      <c r="W593" s="18"/>
      <c r="X593" s="18"/>
      <c r="Y593" s="18"/>
    </row>
    <row r="594">
      <c r="M594" s="17"/>
      <c r="W594" s="18"/>
      <c r="X594" s="18"/>
      <c r="Y594" s="18"/>
    </row>
    <row r="595">
      <c r="M595" s="17"/>
      <c r="W595" s="18"/>
      <c r="X595" s="18"/>
      <c r="Y595" s="18"/>
    </row>
    <row r="596">
      <c r="M596" s="17"/>
      <c r="W596" s="18"/>
      <c r="X596" s="18"/>
      <c r="Y596" s="18"/>
    </row>
    <row r="597">
      <c r="M597" s="17"/>
      <c r="W597" s="18"/>
      <c r="X597" s="18"/>
      <c r="Y597" s="18"/>
    </row>
    <row r="598">
      <c r="M598" s="17"/>
      <c r="W598" s="18"/>
      <c r="X598" s="18"/>
      <c r="Y598" s="18"/>
    </row>
    <row r="599">
      <c r="M599" s="17"/>
      <c r="W599" s="18"/>
      <c r="X599" s="18"/>
      <c r="Y599" s="18"/>
    </row>
    <row r="600">
      <c r="M600" s="17"/>
      <c r="W600" s="18"/>
      <c r="X600" s="18"/>
      <c r="Y600" s="18"/>
    </row>
    <row r="601">
      <c r="M601" s="17"/>
      <c r="W601" s="18"/>
      <c r="X601" s="18"/>
      <c r="Y601" s="18"/>
    </row>
    <row r="602">
      <c r="M602" s="17"/>
      <c r="W602" s="18"/>
      <c r="X602" s="18"/>
      <c r="Y602" s="18"/>
    </row>
    <row r="603">
      <c r="M603" s="17"/>
      <c r="W603" s="18"/>
      <c r="X603" s="18"/>
      <c r="Y603" s="18"/>
    </row>
    <row r="604">
      <c r="M604" s="17"/>
      <c r="W604" s="18"/>
      <c r="X604" s="18"/>
      <c r="Y604" s="18"/>
    </row>
    <row r="605">
      <c r="M605" s="17"/>
      <c r="W605" s="18"/>
      <c r="X605" s="18"/>
      <c r="Y605" s="18"/>
    </row>
    <row r="606">
      <c r="M606" s="17"/>
      <c r="W606" s="18"/>
      <c r="X606" s="18"/>
      <c r="Y606" s="18"/>
    </row>
    <row r="607">
      <c r="M607" s="17"/>
      <c r="W607" s="18"/>
      <c r="X607" s="18"/>
      <c r="Y607" s="18"/>
    </row>
    <row r="608">
      <c r="M608" s="17"/>
      <c r="W608" s="18"/>
      <c r="X608" s="18"/>
      <c r="Y608" s="18"/>
    </row>
    <row r="609">
      <c r="M609" s="17"/>
      <c r="W609" s="18"/>
      <c r="X609" s="18"/>
      <c r="Y609" s="18"/>
    </row>
    <row r="610">
      <c r="M610" s="17"/>
      <c r="W610" s="18"/>
      <c r="X610" s="18"/>
      <c r="Y610" s="18"/>
    </row>
    <row r="611">
      <c r="M611" s="17"/>
      <c r="W611" s="18"/>
      <c r="X611" s="18"/>
      <c r="Y611" s="18"/>
    </row>
    <row r="612">
      <c r="M612" s="17"/>
      <c r="W612" s="18"/>
      <c r="X612" s="18"/>
      <c r="Y612" s="18"/>
    </row>
    <row r="613">
      <c r="M613" s="17"/>
      <c r="W613" s="18"/>
      <c r="X613" s="18"/>
      <c r="Y613" s="18"/>
    </row>
    <row r="614">
      <c r="M614" s="17"/>
      <c r="W614" s="18"/>
      <c r="X614" s="18"/>
      <c r="Y614" s="18"/>
    </row>
    <row r="615">
      <c r="M615" s="17"/>
      <c r="W615" s="18"/>
      <c r="X615" s="18"/>
      <c r="Y615" s="18"/>
    </row>
    <row r="616">
      <c r="M616" s="17"/>
      <c r="W616" s="18"/>
      <c r="X616" s="18"/>
      <c r="Y616" s="18"/>
    </row>
    <row r="617">
      <c r="M617" s="17"/>
      <c r="W617" s="18"/>
      <c r="X617" s="18"/>
      <c r="Y617" s="18"/>
    </row>
    <row r="618">
      <c r="M618" s="17"/>
      <c r="W618" s="18"/>
      <c r="X618" s="18"/>
      <c r="Y618" s="18"/>
    </row>
    <row r="619">
      <c r="M619" s="17"/>
      <c r="W619" s="18"/>
      <c r="X619" s="18"/>
      <c r="Y619" s="18"/>
    </row>
    <row r="620">
      <c r="M620" s="17"/>
      <c r="W620" s="18"/>
      <c r="X620" s="18"/>
      <c r="Y620" s="18"/>
    </row>
    <row r="621">
      <c r="M621" s="17"/>
      <c r="W621" s="18"/>
      <c r="X621" s="18"/>
      <c r="Y621" s="18"/>
    </row>
    <row r="622">
      <c r="M622" s="17"/>
      <c r="W622" s="18"/>
      <c r="X622" s="18"/>
      <c r="Y622" s="18"/>
    </row>
    <row r="623">
      <c r="M623" s="17"/>
      <c r="W623" s="18"/>
      <c r="X623" s="18"/>
      <c r="Y623" s="18"/>
    </row>
    <row r="624">
      <c r="M624" s="17"/>
      <c r="W624" s="18"/>
      <c r="X624" s="18"/>
      <c r="Y624" s="18"/>
    </row>
    <row r="625">
      <c r="M625" s="17"/>
      <c r="W625" s="18"/>
      <c r="X625" s="18"/>
      <c r="Y625" s="18"/>
    </row>
    <row r="626">
      <c r="M626" s="17"/>
      <c r="W626" s="18"/>
      <c r="X626" s="18"/>
      <c r="Y626" s="18"/>
    </row>
    <row r="627">
      <c r="M627" s="17"/>
      <c r="W627" s="18"/>
      <c r="X627" s="18"/>
      <c r="Y627" s="18"/>
    </row>
    <row r="628">
      <c r="M628" s="17"/>
      <c r="W628" s="18"/>
      <c r="X628" s="18"/>
      <c r="Y628" s="18"/>
    </row>
    <row r="629">
      <c r="M629" s="17"/>
      <c r="W629" s="18"/>
      <c r="X629" s="18"/>
      <c r="Y629" s="18"/>
    </row>
    <row r="630">
      <c r="M630" s="17"/>
      <c r="W630" s="18"/>
      <c r="X630" s="18"/>
      <c r="Y630" s="18"/>
    </row>
    <row r="631">
      <c r="M631" s="17"/>
      <c r="W631" s="18"/>
      <c r="X631" s="18"/>
      <c r="Y631" s="18"/>
    </row>
    <row r="632">
      <c r="M632" s="17"/>
      <c r="W632" s="18"/>
      <c r="X632" s="18"/>
      <c r="Y632" s="18"/>
    </row>
    <row r="633">
      <c r="M633" s="17"/>
      <c r="W633" s="18"/>
      <c r="X633" s="18"/>
      <c r="Y633" s="18"/>
    </row>
    <row r="634">
      <c r="M634" s="17"/>
      <c r="W634" s="18"/>
      <c r="X634" s="18"/>
      <c r="Y634" s="18"/>
    </row>
    <row r="635">
      <c r="M635" s="17"/>
      <c r="W635" s="18"/>
      <c r="X635" s="18"/>
      <c r="Y635" s="18"/>
    </row>
    <row r="636">
      <c r="M636" s="17"/>
      <c r="W636" s="18"/>
      <c r="X636" s="18"/>
      <c r="Y636" s="18"/>
    </row>
    <row r="637">
      <c r="M637" s="17"/>
      <c r="W637" s="18"/>
      <c r="X637" s="18"/>
      <c r="Y637" s="18"/>
    </row>
    <row r="638">
      <c r="M638" s="17"/>
      <c r="W638" s="18"/>
      <c r="X638" s="18"/>
      <c r="Y638" s="18"/>
    </row>
    <row r="639">
      <c r="M639" s="17"/>
      <c r="W639" s="18"/>
      <c r="X639" s="18"/>
      <c r="Y639" s="18"/>
    </row>
    <row r="640">
      <c r="M640" s="17"/>
      <c r="W640" s="18"/>
      <c r="X640" s="18"/>
      <c r="Y640" s="18"/>
    </row>
    <row r="641">
      <c r="M641" s="17"/>
      <c r="W641" s="18"/>
      <c r="X641" s="18"/>
      <c r="Y641" s="18"/>
    </row>
    <row r="642">
      <c r="M642" s="17"/>
      <c r="W642" s="18"/>
      <c r="X642" s="18"/>
      <c r="Y642" s="18"/>
    </row>
    <row r="643">
      <c r="M643" s="17"/>
      <c r="W643" s="18"/>
      <c r="X643" s="18"/>
      <c r="Y643" s="18"/>
    </row>
    <row r="644">
      <c r="M644" s="17"/>
      <c r="W644" s="18"/>
      <c r="X644" s="18"/>
      <c r="Y644" s="18"/>
    </row>
    <row r="645">
      <c r="M645" s="17"/>
      <c r="W645" s="18"/>
      <c r="X645" s="18"/>
      <c r="Y645" s="18"/>
    </row>
    <row r="646">
      <c r="M646" s="17"/>
      <c r="W646" s="18"/>
      <c r="X646" s="18"/>
      <c r="Y646" s="18"/>
    </row>
    <row r="647">
      <c r="M647" s="17"/>
      <c r="W647" s="18"/>
      <c r="X647" s="18"/>
      <c r="Y647" s="18"/>
    </row>
    <row r="648">
      <c r="M648" s="17"/>
      <c r="W648" s="18"/>
      <c r="X648" s="18"/>
      <c r="Y648" s="18"/>
    </row>
    <row r="649">
      <c r="M649" s="17"/>
      <c r="W649" s="18"/>
      <c r="X649" s="18"/>
      <c r="Y649" s="18"/>
    </row>
    <row r="650">
      <c r="M650" s="17"/>
      <c r="W650" s="18"/>
      <c r="X650" s="18"/>
      <c r="Y650" s="18"/>
    </row>
    <row r="651">
      <c r="M651" s="17"/>
      <c r="W651" s="18"/>
      <c r="X651" s="18"/>
      <c r="Y651" s="18"/>
    </row>
    <row r="652">
      <c r="M652" s="17"/>
      <c r="W652" s="18"/>
      <c r="X652" s="18"/>
      <c r="Y652" s="18"/>
    </row>
    <row r="653">
      <c r="M653" s="17"/>
      <c r="W653" s="18"/>
      <c r="X653" s="18"/>
      <c r="Y653" s="18"/>
    </row>
    <row r="654">
      <c r="M654" s="17"/>
      <c r="W654" s="18"/>
      <c r="X654" s="18"/>
      <c r="Y654" s="18"/>
    </row>
    <row r="655">
      <c r="M655" s="17"/>
      <c r="W655" s="18"/>
      <c r="X655" s="18"/>
      <c r="Y655" s="18"/>
    </row>
    <row r="656">
      <c r="M656" s="17"/>
      <c r="W656" s="18"/>
      <c r="X656" s="18"/>
      <c r="Y656" s="18"/>
    </row>
    <row r="657">
      <c r="M657" s="17"/>
      <c r="W657" s="18"/>
      <c r="X657" s="18"/>
      <c r="Y657" s="18"/>
    </row>
    <row r="658">
      <c r="M658" s="17"/>
      <c r="W658" s="18"/>
      <c r="X658" s="18"/>
      <c r="Y658" s="18"/>
    </row>
    <row r="659">
      <c r="M659" s="17"/>
      <c r="W659" s="18"/>
      <c r="X659" s="18"/>
      <c r="Y659" s="18"/>
    </row>
    <row r="660">
      <c r="M660" s="17"/>
      <c r="W660" s="18"/>
      <c r="X660" s="18"/>
      <c r="Y660" s="18"/>
    </row>
    <row r="661">
      <c r="M661" s="17"/>
      <c r="W661" s="18"/>
      <c r="X661" s="18"/>
      <c r="Y661" s="18"/>
    </row>
    <row r="662">
      <c r="M662" s="17"/>
      <c r="W662" s="18"/>
      <c r="X662" s="18"/>
      <c r="Y662" s="18"/>
    </row>
    <row r="663">
      <c r="M663" s="17"/>
      <c r="W663" s="18"/>
      <c r="X663" s="18"/>
      <c r="Y663" s="18"/>
    </row>
    <row r="664">
      <c r="M664" s="17"/>
      <c r="W664" s="18"/>
      <c r="X664" s="18"/>
      <c r="Y664" s="18"/>
    </row>
    <row r="665">
      <c r="M665" s="17"/>
      <c r="W665" s="18"/>
      <c r="X665" s="18"/>
      <c r="Y665" s="18"/>
    </row>
    <row r="666">
      <c r="M666" s="17"/>
      <c r="W666" s="18"/>
      <c r="X666" s="18"/>
      <c r="Y666" s="18"/>
    </row>
    <row r="667">
      <c r="M667" s="17"/>
      <c r="W667" s="18"/>
      <c r="X667" s="18"/>
      <c r="Y667" s="18"/>
    </row>
    <row r="668">
      <c r="M668" s="17"/>
      <c r="W668" s="18"/>
      <c r="X668" s="18"/>
      <c r="Y668" s="18"/>
    </row>
    <row r="669">
      <c r="M669" s="17"/>
      <c r="W669" s="18"/>
      <c r="X669" s="18"/>
      <c r="Y669" s="18"/>
    </row>
    <row r="670">
      <c r="M670" s="17"/>
      <c r="W670" s="18"/>
      <c r="X670" s="18"/>
      <c r="Y670" s="18"/>
    </row>
    <row r="671">
      <c r="M671" s="17"/>
      <c r="W671" s="18"/>
      <c r="X671" s="18"/>
      <c r="Y671" s="18"/>
    </row>
    <row r="672">
      <c r="M672" s="17"/>
      <c r="W672" s="18"/>
      <c r="X672" s="18"/>
      <c r="Y672" s="18"/>
    </row>
    <row r="673">
      <c r="M673" s="17"/>
      <c r="W673" s="18"/>
      <c r="X673" s="18"/>
      <c r="Y673" s="18"/>
    </row>
    <row r="674">
      <c r="M674" s="17"/>
      <c r="W674" s="18"/>
      <c r="X674" s="18"/>
      <c r="Y674" s="18"/>
    </row>
    <row r="675">
      <c r="M675" s="17"/>
      <c r="W675" s="18"/>
      <c r="X675" s="18"/>
      <c r="Y675" s="18"/>
    </row>
    <row r="676">
      <c r="M676" s="17"/>
      <c r="W676" s="18"/>
      <c r="X676" s="18"/>
      <c r="Y676" s="18"/>
    </row>
    <row r="677">
      <c r="M677" s="17"/>
      <c r="W677" s="18"/>
      <c r="X677" s="18"/>
      <c r="Y677" s="18"/>
    </row>
    <row r="678">
      <c r="M678" s="17"/>
      <c r="W678" s="18"/>
      <c r="X678" s="18"/>
      <c r="Y678" s="18"/>
    </row>
    <row r="679">
      <c r="M679" s="17"/>
      <c r="W679" s="18"/>
      <c r="X679" s="18"/>
      <c r="Y679" s="18"/>
    </row>
    <row r="680">
      <c r="M680" s="17"/>
      <c r="W680" s="18"/>
      <c r="X680" s="18"/>
      <c r="Y680" s="18"/>
    </row>
    <row r="681">
      <c r="M681" s="17"/>
      <c r="W681" s="18"/>
      <c r="X681" s="18"/>
      <c r="Y681" s="18"/>
    </row>
    <row r="682">
      <c r="M682" s="17"/>
      <c r="W682" s="18"/>
      <c r="X682" s="18"/>
      <c r="Y682" s="18"/>
    </row>
    <row r="683">
      <c r="M683" s="17"/>
      <c r="W683" s="18"/>
      <c r="X683" s="18"/>
      <c r="Y683" s="18"/>
    </row>
    <row r="684">
      <c r="M684" s="17"/>
      <c r="W684" s="18"/>
      <c r="X684" s="18"/>
      <c r="Y684" s="18"/>
    </row>
    <row r="685">
      <c r="M685" s="17"/>
      <c r="W685" s="18"/>
      <c r="X685" s="18"/>
      <c r="Y685" s="18"/>
    </row>
    <row r="686">
      <c r="M686" s="17"/>
      <c r="W686" s="18"/>
      <c r="X686" s="18"/>
      <c r="Y686" s="18"/>
    </row>
    <row r="687">
      <c r="M687" s="17"/>
      <c r="W687" s="18"/>
      <c r="X687" s="18"/>
      <c r="Y687" s="18"/>
    </row>
    <row r="688">
      <c r="M688" s="17"/>
      <c r="W688" s="18"/>
      <c r="X688" s="18"/>
      <c r="Y688" s="18"/>
    </row>
    <row r="689">
      <c r="M689" s="17"/>
      <c r="W689" s="18"/>
      <c r="X689" s="18"/>
      <c r="Y689" s="18"/>
    </row>
    <row r="690">
      <c r="M690" s="17"/>
      <c r="W690" s="18"/>
      <c r="X690" s="18"/>
      <c r="Y690" s="18"/>
    </row>
    <row r="691">
      <c r="M691" s="17"/>
      <c r="W691" s="18"/>
      <c r="X691" s="18"/>
      <c r="Y691" s="18"/>
    </row>
    <row r="692">
      <c r="M692" s="17"/>
      <c r="W692" s="18"/>
      <c r="X692" s="18"/>
      <c r="Y692" s="18"/>
    </row>
    <row r="693">
      <c r="M693" s="17"/>
      <c r="W693" s="18"/>
      <c r="X693" s="18"/>
      <c r="Y693" s="18"/>
    </row>
    <row r="694">
      <c r="M694" s="17"/>
      <c r="W694" s="18"/>
      <c r="X694" s="18"/>
      <c r="Y694" s="18"/>
    </row>
    <row r="695">
      <c r="M695" s="17"/>
      <c r="W695" s="18"/>
      <c r="X695" s="18"/>
      <c r="Y695" s="18"/>
    </row>
    <row r="696">
      <c r="M696" s="17"/>
      <c r="W696" s="18"/>
      <c r="X696" s="18"/>
      <c r="Y696" s="18"/>
    </row>
    <row r="697">
      <c r="M697" s="17"/>
      <c r="W697" s="18"/>
      <c r="X697" s="18"/>
      <c r="Y697" s="18"/>
    </row>
    <row r="698">
      <c r="M698" s="17"/>
      <c r="W698" s="18"/>
      <c r="X698" s="18"/>
      <c r="Y698" s="18"/>
    </row>
    <row r="699">
      <c r="M699" s="17"/>
      <c r="W699" s="18"/>
      <c r="X699" s="18"/>
      <c r="Y699" s="18"/>
    </row>
    <row r="700">
      <c r="M700" s="17"/>
      <c r="W700" s="18"/>
      <c r="X700" s="18"/>
      <c r="Y700" s="18"/>
    </row>
    <row r="701">
      <c r="M701" s="17"/>
      <c r="W701" s="18"/>
      <c r="X701" s="18"/>
      <c r="Y701" s="18"/>
    </row>
    <row r="702">
      <c r="M702" s="17"/>
      <c r="W702" s="18"/>
      <c r="X702" s="18"/>
      <c r="Y702" s="18"/>
    </row>
    <row r="703">
      <c r="M703" s="17"/>
      <c r="W703" s="18"/>
      <c r="X703" s="18"/>
      <c r="Y703" s="18"/>
    </row>
    <row r="704">
      <c r="M704" s="17"/>
      <c r="W704" s="18"/>
      <c r="X704" s="18"/>
      <c r="Y704" s="18"/>
    </row>
    <row r="705">
      <c r="M705" s="17"/>
      <c r="W705" s="18"/>
      <c r="X705" s="18"/>
      <c r="Y705" s="18"/>
    </row>
    <row r="706">
      <c r="M706" s="17"/>
      <c r="W706" s="18"/>
      <c r="X706" s="18"/>
      <c r="Y706" s="18"/>
    </row>
    <row r="707">
      <c r="M707" s="17"/>
      <c r="W707" s="18"/>
      <c r="X707" s="18"/>
      <c r="Y707" s="18"/>
    </row>
    <row r="708">
      <c r="M708" s="17"/>
      <c r="W708" s="18"/>
      <c r="X708" s="18"/>
      <c r="Y708" s="18"/>
    </row>
    <row r="709">
      <c r="M709" s="17"/>
      <c r="W709" s="18"/>
      <c r="X709" s="18"/>
      <c r="Y709" s="18"/>
    </row>
    <row r="710">
      <c r="M710" s="17"/>
      <c r="W710" s="18"/>
      <c r="X710" s="18"/>
      <c r="Y710" s="18"/>
    </row>
    <row r="711">
      <c r="M711" s="17"/>
      <c r="W711" s="18"/>
      <c r="X711" s="18"/>
      <c r="Y711" s="18"/>
    </row>
    <row r="712">
      <c r="M712" s="17"/>
      <c r="W712" s="18"/>
      <c r="X712" s="18"/>
      <c r="Y712" s="18"/>
    </row>
    <row r="713">
      <c r="M713" s="17"/>
      <c r="W713" s="18"/>
      <c r="X713" s="18"/>
      <c r="Y713" s="18"/>
    </row>
    <row r="714">
      <c r="M714" s="17"/>
      <c r="W714" s="18"/>
      <c r="X714" s="18"/>
      <c r="Y714" s="18"/>
    </row>
    <row r="715">
      <c r="M715" s="17"/>
      <c r="W715" s="18"/>
      <c r="X715" s="18"/>
      <c r="Y715" s="18"/>
    </row>
    <row r="716">
      <c r="M716" s="17"/>
      <c r="W716" s="18"/>
      <c r="X716" s="18"/>
      <c r="Y716" s="18"/>
    </row>
    <row r="717">
      <c r="M717" s="17"/>
      <c r="W717" s="18"/>
      <c r="X717" s="18"/>
      <c r="Y717" s="18"/>
    </row>
    <row r="718">
      <c r="M718" s="17"/>
      <c r="W718" s="18"/>
      <c r="X718" s="18"/>
      <c r="Y718" s="18"/>
    </row>
    <row r="719">
      <c r="M719" s="17"/>
      <c r="W719" s="18"/>
      <c r="X719" s="18"/>
      <c r="Y719" s="18"/>
    </row>
    <row r="720">
      <c r="M720" s="17"/>
      <c r="W720" s="18"/>
      <c r="X720" s="18"/>
      <c r="Y720" s="18"/>
    </row>
    <row r="721">
      <c r="M721" s="17"/>
      <c r="W721" s="18"/>
      <c r="X721" s="18"/>
      <c r="Y721" s="18"/>
    </row>
    <row r="722">
      <c r="M722" s="17"/>
      <c r="W722" s="18"/>
      <c r="X722" s="18"/>
      <c r="Y722" s="18"/>
    </row>
    <row r="723">
      <c r="M723" s="17"/>
      <c r="W723" s="18"/>
      <c r="X723" s="18"/>
      <c r="Y723" s="18"/>
    </row>
    <row r="724">
      <c r="M724" s="17"/>
      <c r="W724" s="18"/>
      <c r="X724" s="18"/>
      <c r="Y724" s="18"/>
    </row>
    <row r="725">
      <c r="M725" s="17"/>
      <c r="W725" s="18"/>
      <c r="X725" s="18"/>
      <c r="Y725" s="18"/>
    </row>
    <row r="726">
      <c r="M726" s="17"/>
      <c r="W726" s="18"/>
      <c r="X726" s="18"/>
      <c r="Y726" s="18"/>
    </row>
    <row r="727">
      <c r="M727" s="17"/>
      <c r="W727" s="18"/>
      <c r="X727" s="18"/>
      <c r="Y727" s="18"/>
    </row>
    <row r="728">
      <c r="M728" s="17"/>
      <c r="W728" s="18"/>
      <c r="X728" s="18"/>
      <c r="Y728" s="18"/>
    </row>
    <row r="729">
      <c r="M729" s="17"/>
      <c r="W729" s="18"/>
      <c r="X729" s="18"/>
      <c r="Y729" s="18"/>
    </row>
    <row r="730">
      <c r="M730" s="17"/>
      <c r="W730" s="18"/>
      <c r="X730" s="18"/>
      <c r="Y730" s="18"/>
    </row>
    <row r="731">
      <c r="M731" s="17"/>
      <c r="W731" s="18"/>
      <c r="X731" s="18"/>
      <c r="Y731" s="18"/>
    </row>
    <row r="732">
      <c r="M732" s="17"/>
      <c r="W732" s="18"/>
      <c r="X732" s="18"/>
      <c r="Y732" s="18"/>
    </row>
    <row r="733">
      <c r="M733" s="17"/>
      <c r="W733" s="18"/>
      <c r="X733" s="18"/>
      <c r="Y733" s="18"/>
    </row>
    <row r="734">
      <c r="M734" s="17"/>
      <c r="W734" s="18"/>
      <c r="X734" s="18"/>
      <c r="Y734" s="18"/>
    </row>
    <row r="735">
      <c r="M735" s="17"/>
      <c r="W735" s="18"/>
      <c r="X735" s="18"/>
      <c r="Y735" s="18"/>
    </row>
    <row r="736">
      <c r="M736" s="17"/>
      <c r="W736" s="18"/>
      <c r="X736" s="18"/>
      <c r="Y736" s="18"/>
    </row>
    <row r="737">
      <c r="M737" s="17"/>
      <c r="W737" s="18"/>
      <c r="X737" s="18"/>
      <c r="Y737" s="18"/>
    </row>
    <row r="738">
      <c r="M738" s="17"/>
      <c r="W738" s="18"/>
      <c r="X738" s="18"/>
      <c r="Y738" s="18"/>
    </row>
    <row r="739">
      <c r="M739" s="17"/>
      <c r="W739" s="18"/>
      <c r="X739" s="18"/>
      <c r="Y739" s="18"/>
    </row>
    <row r="740">
      <c r="M740" s="17"/>
      <c r="W740" s="18"/>
      <c r="X740" s="18"/>
      <c r="Y740" s="18"/>
    </row>
    <row r="741">
      <c r="M741" s="17"/>
      <c r="W741" s="18"/>
      <c r="X741" s="18"/>
      <c r="Y741" s="18"/>
    </row>
    <row r="742">
      <c r="M742" s="17"/>
      <c r="W742" s="18"/>
      <c r="X742" s="18"/>
      <c r="Y742" s="18"/>
    </row>
    <row r="743">
      <c r="M743" s="17"/>
      <c r="W743" s="18"/>
      <c r="X743" s="18"/>
      <c r="Y743" s="18"/>
    </row>
    <row r="744">
      <c r="M744" s="17"/>
      <c r="W744" s="18"/>
      <c r="X744" s="18"/>
      <c r="Y744" s="18"/>
    </row>
    <row r="745">
      <c r="M745" s="17"/>
      <c r="W745" s="18"/>
      <c r="X745" s="18"/>
      <c r="Y745" s="18"/>
    </row>
    <row r="746">
      <c r="M746" s="17"/>
      <c r="W746" s="18"/>
      <c r="X746" s="18"/>
      <c r="Y746" s="18"/>
    </row>
    <row r="747">
      <c r="M747" s="17"/>
      <c r="W747" s="18"/>
      <c r="X747" s="18"/>
      <c r="Y747" s="18"/>
    </row>
    <row r="748">
      <c r="M748" s="17"/>
      <c r="W748" s="18"/>
      <c r="X748" s="18"/>
      <c r="Y748" s="18"/>
    </row>
    <row r="749">
      <c r="M749" s="17"/>
      <c r="W749" s="18"/>
      <c r="X749" s="18"/>
      <c r="Y749" s="18"/>
    </row>
    <row r="750">
      <c r="M750" s="17"/>
      <c r="W750" s="18"/>
      <c r="X750" s="18"/>
      <c r="Y750" s="18"/>
    </row>
    <row r="751">
      <c r="M751" s="17"/>
      <c r="W751" s="18"/>
      <c r="X751" s="18"/>
      <c r="Y751" s="18"/>
    </row>
    <row r="752">
      <c r="M752" s="17"/>
      <c r="W752" s="18"/>
      <c r="X752" s="18"/>
      <c r="Y752" s="18"/>
    </row>
    <row r="753">
      <c r="M753" s="17"/>
      <c r="W753" s="18"/>
      <c r="X753" s="18"/>
      <c r="Y753" s="18"/>
    </row>
    <row r="754">
      <c r="M754" s="17"/>
      <c r="W754" s="18"/>
      <c r="X754" s="18"/>
      <c r="Y754" s="18"/>
    </row>
    <row r="755">
      <c r="M755" s="17"/>
      <c r="W755" s="18"/>
      <c r="X755" s="18"/>
      <c r="Y755" s="18"/>
    </row>
    <row r="756">
      <c r="M756" s="17"/>
      <c r="W756" s="18"/>
      <c r="X756" s="18"/>
      <c r="Y756" s="18"/>
    </row>
    <row r="757">
      <c r="M757" s="17"/>
      <c r="W757" s="18"/>
      <c r="X757" s="18"/>
      <c r="Y757" s="18"/>
    </row>
    <row r="758">
      <c r="M758" s="17"/>
      <c r="W758" s="18"/>
      <c r="X758" s="18"/>
      <c r="Y758" s="18"/>
    </row>
    <row r="759">
      <c r="M759" s="17"/>
      <c r="W759" s="18"/>
      <c r="X759" s="18"/>
      <c r="Y759" s="18"/>
    </row>
    <row r="760">
      <c r="M760" s="17"/>
      <c r="W760" s="18"/>
      <c r="X760" s="18"/>
      <c r="Y760" s="18"/>
    </row>
    <row r="761">
      <c r="M761" s="17"/>
      <c r="W761" s="18"/>
      <c r="X761" s="18"/>
      <c r="Y761" s="18"/>
    </row>
    <row r="762">
      <c r="M762" s="17"/>
      <c r="W762" s="18"/>
      <c r="X762" s="18"/>
      <c r="Y762" s="18"/>
    </row>
    <row r="763">
      <c r="M763" s="17"/>
      <c r="W763" s="18"/>
      <c r="X763" s="18"/>
      <c r="Y763" s="18"/>
    </row>
    <row r="764">
      <c r="M764" s="17"/>
      <c r="W764" s="18"/>
      <c r="X764" s="18"/>
      <c r="Y764" s="18"/>
    </row>
    <row r="765">
      <c r="M765" s="17"/>
      <c r="W765" s="18"/>
      <c r="X765" s="18"/>
      <c r="Y765" s="18"/>
    </row>
    <row r="766">
      <c r="M766" s="17"/>
      <c r="W766" s="18"/>
      <c r="X766" s="18"/>
      <c r="Y766" s="18"/>
    </row>
    <row r="767">
      <c r="M767" s="17"/>
      <c r="W767" s="18"/>
      <c r="X767" s="18"/>
      <c r="Y767" s="18"/>
    </row>
    <row r="768">
      <c r="M768" s="17"/>
      <c r="W768" s="18"/>
      <c r="X768" s="18"/>
      <c r="Y768" s="18"/>
    </row>
    <row r="769">
      <c r="M769" s="17"/>
      <c r="W769" s="18"/>
      <c r="X769" s="18"/>
      <c r="Y769" s="18"/>
    </row>
    <row r="770">
      <c r="M770" s="17"/>
      <c r="W770" s="18"/>
      <c r="X770" s="18"/>
      <c r="Y770" s="18"/>
    </row>
    <row r="771">
      <c r="M771" s="17"/>
      <c r="W771" s="18"/>
      <c r="X771" s="18"/>
      <c r="Y771" s="18"/>
    </row>
    <row r="772">
      <c r="M772" s="17"/>
      <c r="W772" s="18"/>
      <c r="X772" s="18"/>
      <c r="Y772" s="18"/>
    </row>
    <row r="773">
      <c r="M773" s="17"/>
      <c r="W773" s="18"/>
      <c r="X773" s="18"/>
      <c r="Y773" s="18"/>
    </row>
    <row r="774">
      <c r="M774" s="17"/>
      <c r="W774" s="18"/>
      <c r="X774" s="18"/>
      <c r="Y774" s="18"/>
    </row>
    <row r="775">
      <c r="M775" s="17"/>
      <c r="W775" s="18"/>
      <c r="X775" s="18"/>
      <c r="Y775" s="18"/>
    </row>
    <row r="776">
      <c r="M776" s="17"/>
      <c r="W776" s="18"/>
      <c r="X776" s="18"/>
      <c r="Y776" s="18"/>
    </row>
    <row r="777">
      <c r="M777" s="17"/>
      <c r="W777" s="18"/>
      <c r="X777" s="18"/>
      <c r="Y777" s="18"/>
    </row>
    <row r="778">
      <c r="M778" s="17"/>
      <c r="W778" s="18"/>
      <c r="X778" s="18"/>
      <c r="Y778" s="18"/>
    </row>
    <row r="779">
      <c r="M779" s="17"/>
      <c r="W779" s="18"/>
      <c r="X779" s="18"/>
      <c r="Y779" s="18"/>
    </row>
    <row r="780">
      <c r="M780" s="17"/>
      <c r="W780" s="18"/>
      <c r="X780" s="18"/>
      <c r="Y780" s="18"/>
    </row>
    <row r="781">
      <c r="M781" s="17"/>
      <c r="W781" s="18"/>
      <c r="X781" s="18"/>
      <c r="Y781" s="18"/>
    </row>
    <row r="782">
      <c r="M782" s="17"/>
      <c r="W782" s="18"/>
      <c r="X782" s="18"/>
      <c r="Y782" s="18"/>
    </row>
    <row r="783">
      <c r="M783" s="17"/>
      <c r="W783" s="18"/>
      <c r="X783" s="18"/>
      <c r="Y783" s="18"/>
    </row>
    <row r="784">
      <c r="M784" s="17"/>
      <c r="W784" s="18"/>
      <c r="X784" s="18"/>
      <c r="Y784" s="18"/>
    </row>
    <row r="785">
      <c r="M785" s="17"/>
      <c r="W785" s="18"/>
      <c r="X785" s="18"/>
      <c r="Y785" s="18"/>
    </row>
    <row r="786">
      <c r="M786" s="17"/>
      <c r="W786" s="18"/>
      <c r="X786" s="18"/>
      <c r="Y786" s="18"/>
    </row>
    <row r="787">
      <c r="M787" s="17"/>
      <c r="W787" s="18"/>
      <c r="X787" s="18"/>
      <c r="Y787" s="18"/>
    </row>
    <row r="788">
      <c r="M788" s="17"/>
      <c r="W788" s="18"/>
      <c r="X788" s="18"/>
      <c r="Y788" s="18"/>
    </row>
    <row r="789">
      <c r="M789" s="17"/>
      <c r="W789" s="18"/>
      <c r="X789" s="18"/>
      <c r="Y789" s="18"/>
    </row>
    <row r="790">
      <c r="M790" s="17"/>
      <c r="W790" s="18"/>
      <c r="X790" s="18"/>
      <c r="Y790" s="18"/>
    </row>
    <row r="791">
      <c r="M791" s="17"/>
      <c r="W791" s="18"/>
      <c r="X791" s="18"/>
      <c r="Y791" s="18"/>
    </row>
    <row r="792">
      <c r="M792" s="17"/>
      <c r="W792" s="18"/>
      <c r="X792" s="18"/>
      <c r="Y792" s="18"/>
    </row>
    <row r="793">
      <c r="M793" s="17"/>
      <c r="W793" s="18"/>
      <c r="X793" s="18"/>
      <c r="Y793" s="18"/>
    </row>
    <row r="794">
      <c r="M794" s="17"/>
      <c r="W794" s="18"/>
      <c r="X794" s="18"/>
      <c r="Y794" s="18"/>
    </row>
    <row r="795">
      <c r="M795" s="17"/>
      <c r="W795" s="18"/>
      <c r="X795" s="18"/>
      <c r="Y795" s="18"/>
    </row>
    <row r="796">
      <c r="M796" s="17"/>
      <c r="W796" s="18"/>
      <c r="X796" s="18"/>
      <c r="Y796" s="18"/>
    </row>
    <row r="797">
      <c r="M797" s="17"/>
      <c r="W797" s="18"/>
      <c r="X797" s="18"/>
      <c r="Y797" s="18"/>
    </row>
    <row r="798">
      <c r="M798" s="17"/>
      <c r="W798" s="18"/>
      <c r="X798" s="18"/>
      <c r="Y798" s="18"/>
    </row>
    <row r="799">
      <c r="M799" s="17"/>
      <c r="W799" s="18"/>
      <c r="X799" s="18"/>
      <c r="Y799" s="18"/>
    </row>
    <row r="800">
      <c r="M800" s="17"/>
      <c r="W800" s="18"/>
      <c r="X800" s="18"/>
      <c r="Y800" s="18"/>
    </row>
    <row r="801">
      <c r="M801" s="17"/>
      <c r="W801" s="18"/>
      <c r="X801" s="18"/>
      <c r="Y801" s="18"/>
    </row>
    <row r="802">
      <c r="M802" s="17"/>
      <c r="W802" s="18"/>
      <c r="X802" s="18"/>
      <c r="Y802" s="18"/>
    </row>
    <row r="803">
      <c r="M803" s="17"/>
      <c r="W803" s="18"/>
      <c r="X803" s="18"/>
      <c r="Y803" s="18"/>
    </row>
    <row r="804">
      <c r="M804" s="17"/>
      <c r="W804" s="18"/>
      <c r="X804" s="18"/>
      <c r="Y804" s="18"/>
    </row>
    <row r="805">
      <c r="M805" s="17"/>
      <c r="W805" s="18"/>
      <c r="X805" s="18"/>
      <c r="Y805" s="18"/>
    </row>
    <row r="806">
      <c r="M806" s="17"/>
      <c r="W806" s="18"/>
      <c r="X806" s="18"/>
      <c r="Y806" s="18"/>
    </row>
    <row r="807">
      <c r="M807" s="17"/>
      <c r="W807" s="18"/>
      <c r="X807" s="18"/>
      <c r="Y807" s="18"/>
    </row>
    <row r="808">
      <c r="M808" s="17"/>
      <c r="W808" s="18"/>
      <c r="X808" s="18"/>
      <c r="Y808" s="18"/>
    </row>
    <row r="809">
      <c r="M809" s="17"/>
      <c r="W809" s="18"/>
      <c r="X809" s="18"/>
      <c r="Y809" s="18"/>
    </row>
    <row r="810">
      <c r="M810" s="17"/>
      <c r="W810" s="18"/>
      <c r="X810" s="18"/>
      <c r="Y810" s="18"/>
    </row>
    <row r="811">
      <c r="M811" s="17"/>
      <c r="W811" s="18"/>
      <c r="X811" s="18"/>
      <c r="Y811" s="18"/>
    </row>
    <row r="812">
      <c r="M812" s="17"/>
      <c r="W812" s="18"/>
      <c r="X812" s="18"/>
      <c r="Y812" s="18"/>
    </row>
    <row r="813">
      <c r="M813" s="17"/>
      <c r="W813" s="18"/>
      <c r="X813" s="18"/>
      <c r="Y813" s="18"/>
    </row>
    <row r="814">
      <c r="M814" s="17"/>
      <c r="W814" s="18"/>
      <c r="X814" s="18"/>
      <c r="Y814" s="18"/>
    </row>
    <row r="815">
      <c r="M815" s="17"/>
      <c r="W815" s="18"/>
      <c r="X815" s="18"/>
      <c r="Y815" s="18"/>
    </row>
    <row r="816">
      <c r="M816" s="17"/>
      <c r="W816" s="18"/>
      <c r="X816" s="18"/>
      <c r="Y816" s="18"/>
    </row>
    <row r="817">
      <c r="M817" s="17"/>
      <c r="W817" s="18"/>
      <c r="X817" s="18"/>
      <c r="Y817" s="18"/>
    </row>
    <row r="818">
      <c r="M818" s="17"/>
      <c r="W818" s="18"/>
      <c r="X818" s="18"/>
      <c r="Y818" s="18"/>
    </row>
    <row r="819">
      <c r="M819" s="17"/>
      <c r="W819" s="18"/>
      <c r="X819" s="18"/>
      <c r="Y819" s="18"/>
    </row>
    <row r="820">
      <c r="M820" s="17"/>
      <c r="W820" s="18"/>
      <c r="X820" s="18"/>
      <c r="Y820" s="18"/>
    </row>
    <row r="821">
      <c r="M821" s="17"/>
      <c r="W821" s="18"/>
      <c r="X821" s="18"/>
      <c r="Y821" s="18"/>
    </row>
    <row r="822">
      <c r="M822" s="17"/>
      <c r="W822" s="18"/>
      <c r="X822" s="18"/>
      <c r="Y822" s="18"/>
    </row>
    <row r="823">
      <c r="M823" s="17"/>
      <c r="W823" s="18"/>
      <c r="X823" s="18"/>
      <c r="Y823" s="18"/>
    </row>
    <row r="824">
      <c r="M824" s="17"/>
      <c r="W824" s="18"/>
      <c r="X824" s="18"/>
      <c r="Y824" s="18"/>
    </row>
    <row r="825">
      <c r="M825" s="17"/>
      <c r="W825" s="18"/>
      <c r="X825" s="18"/>
      <c r="Y825" s="18"/>
    </row>
    <row r="826">
      <c r="M826" s="17"/>
      <c r="W826" s="18"/>
      <c r="X826" s="18"/>
      <c r="Y826" s="18"/>
    </row>
    <row r="827">
      <c r="M827" s="17"/>
      <c r="W827" s="18"/>
      <c r="X827" s="18"/>
      <c r="Y827" s="18"/>
    </row>
    <row r="828">
      <c r="M828" s="17"/>
      <c r="W828" s="18"/>
      <c r="X828" s="18"/>
      <c r="Y828" s="18"/>
    </row>
    <row r="829">
      <c r="M829" s="17"/>
      <c r="W829" s="18"/>
      <c r="X829" s="18"/>
      <c r="Y829" s="18"/>
    </row>
    <row r="830">
      <c r="M830" s="17"/>
      <c r="W830" s="18"/>
      <c r="X830" s="18"/>
      <c r="Y830" s="18"/>
    </row>
    <row r="831">
      <c r="M831" s="17"/>
      <c r="W831" s="18"/>
      <c r="X831" s="18"/>
      <c r="Y831" s="18"/>
    </row>
    <row r="832">
      <c r="M832" s="17"/>
      <c r="W832" s="18"/>
      <c r="X832" s="18"/>
      <c r="Y832" s="18"/>
    </row>
    <row r="833">
      <c r="M833" s="17"/>
      <c r="W833" s="18"/>
      <c r="X833" s="18"/>
      <c r="Y833" s="18"/>
    </row>
    <row r="834">
      <c r="M834" s="17"/>
      <c r="W834" s="18"/>
      <c r="X834" s="18"/>
      <c r="Y834" s="18"/>
    </row>
    <row r="835">
      <c r="M835" s="17"/>
      <c r="W835" s="18"/>
      <c r="X835" s="18"/>
      <c r="Y835" s="18"/>
    </row>
    <row r="836">
      <c r="M836" s="17"/>
      <c r="W836" s="18"/>
      <c r="X836" s="18"/>
      <c r="Y836" s="18"/>
    </row>
    <row r="837">
      <c r="M837" s="17"/>
      <c r="W837" s="18"/>
      <c r="X837" s="18"/>
      <c r="Y837" s="18"/>
    </row>
    <row r="838">
      <c r="M838" s="17"/>
      <c r="W838" s="18"/>
      <c r="X838" s="18"/>
      <c r="Y838" s="18"/>
    </row>
    <row r="839">
      <c r="M839" s="17"/>
      <c r="W839" s="18"/>
      <c r="X839" s="18"/>
      <c r="Y839" s="18"/>
    </row>
    <row r="840">
      <c r="M840" s="17"/>
      <c r="W840" s="18"/>
      <c r="X840" s="18"/>
      <c r="Y840" s="18"/>
    </row>
    <row r="841">
      <c r="M841" s="17"/>
      <c r="W841" s="18"/>
      <c r="X841" s="18"/>
      <c r="Y841" s="18"/>
    </row>
    <row r="842">
      <c r="M842" s="17"/>
      <c r="W842" s="18"/>
      <c r="X842" s="18"/>
      <c r="Y842" s="18"/>
    </row>
    <row r="843">
      <c r="M843" s="17"/>
      <c r="W843" s="18"/>
      <c r="X843" s="18"/>
      <c r="Y843" s="18"/>
    </row>
    <row r="844">
      <c r="M844" s="17"/>
      <c r="W844" s="18"/>
      <c r="X844" s="18"/>
      <c r="Y844" s="18"/>
    </row>
    <row r="845">
      <c r="M845" s="17"/>
      <c r="W845" s="18"/>
      <c r="X845" s="18"/>
      <c r="Y845" s="18"/>
    </row>
    <row r="846">
      <c r="M846" s="17"/>
      <c r="W846" s="18"/>
      <c r="X846" s="18"/>
      <c r="Y846" s="18"/>
    </row>
    <row r="847">
      <c r="M847" s="17"/>
      <c r="W847" s="18"/>
      <c r="X847" s="18"/>
      <c r="Y847" s="18"/>
    </row>
    <row r="848">
      <c r="M848" s="17"/>
      <c r="W848" s="18"/>
      <c r="X848" s="18"/>
      <c r="Y848" s="18"/>
    </row>
    <row r="849">
      <c r="M849" s="17"/>
      <c r="W849" s="18"/>
      <c r="X849" s="18"/>
      <c r="Y849" s="18"/>
    </row>
    <row r="850">
      <c r="M850" s="17"/>
      <c r="W850" s="18"/>
      <c r="X850" s="18"/>
      <c r="Y850" s="18"/>
    </row>
    <row r="851">
      <c r="M851" s="17"/>
      <c r="W851" s="18"/>
      <c r="X851" s="18"/>
      <c r="Y851" s="18"/>
    </row>
    <row r="852">
      <c r="M852" s="17"/>
      <c r="W852" s="18"/>
      <c r="X852" s="18"/>
      <c r="Y852" s="18"/>
    </row>
    <row r="853">
      <c r="M853" s="17"/>
      <c r="W853" s="18"/>
      <c r="X853" s="18"/>
      <c r="Y853" s="18"/>
    </row>
    <row r="854">
      <c r="M854" s="17"/>
      <c r="W854" s="18"/>
      <c r="X854" s="18"/>
      <c r="Y854" s="18"/>
    </row>
    <row r="855">
      <c r="M855" s="17"/>
      <c r="W855" s="18"/>
      <c r="X855" s="18"/>
      <c r="Y855" s="18"/>
    </row>
    <row r="856">
      <c r="M856" s="17"/>
      <c r="W856" s="18"/>
      <c r="X856" s="18"/>
      <c r="Y856" s="18"/>
    </row>
    <row r="857">
      <c r="M857" s="17"/>
      <c r="W857" s="18"/>
      <c r="X857" s="18"/>
      <c r="Y857" s="18"/>
    </row>
    <row r="858">
      <c r="M858" s="17"/>
      <c r="W858" s="18"/>
      <c r="X858" s="18"/>
      <c r="Y858" s="18"/>
    </row>
    <row r="859">
      <c r="M859" s="17"/>
      <c r="W859" s="18"/>
      <c r="X859" s="18"/>
      <c r="Y859" s="18"/>
    </row>
    <row r="860">
      <c r="M860" s="17"/>
      <c r="W860" s="18"/>
      <c r="X860" s="18"/>
      <c r="Y860" s="18"/>
    </row>
    <row r="861">
      <c r="M861" s="17"/>
      <c r="W861" s="18"/>
      <c r="X861" s="18"/>
      <c r="Y861" s="18"/>
    </row>
    <row r="862">
      <c r="M862" s="17"/>
      <c r="W862" s="18"/>
      <c r="X862" s="18"/>
      <c r="Y862" s="18"/>
    </row>
    <row r="863">
      <c r="M863" s="17"/>
      <c r="W863" s="18"/>
      <c r="X863" s="18"/>
      <c r="Y863" s="18"/>
    </row>
    <row r="864">
      <c r="M864" s="17"/>
      <c r="W864" s="18"/>
      <c r="X864" s="18"/>
      <c r="Y864" s="18"/>
    </row>
    <row r="865">
      <c r="M865" s="17"/>
      <c r="W865" s="18"/>
      <c r="X865" s="18"/>
      <c r="Y865" s="18"/>
    </row>
    <row r="866">
      <c r="M866" s="17"/>
      <c r="W866" s="18"/>
      <c r="X866" s="18"/>
      <c r="Y866" s="18"/>
    </row>
    <row r="867">
      <c r="M867" s="17"/>
      <c r="W867" s="18"/>
      <c r="X867" s="18"/>
      <c r="Y867" s="18"/>
    </row>
    <row r="868">
      <c r="M868" s="17"/>
      <c r="W868" s="18"/>
      <c r="X868" s="18"/>
      <c r="Y868" s="18"/>
    </row>
    <row r="869">
      <c r="M869" s="17"/>
      <c r="W869" s="18"/>
      <c r="X869" s="18"/>
      <c r="Y869" s="18"/>
    </row>
    <row r="870">
      <c r="M870" s="17"/>
      <c r="W870" s="18"/>
      <c r="X870" s="18"/>
      <c r="Y870" s="18"/>
    </row>
    <row r="871">
      <c r="M871" s="17"/>
      <c r="W871" s="18"/>
      <c r="X871" s="18"/>
      <c r="Y871" s="18"/>
    </row>
    <row r="872">
      <c r="M872" s="17"/>
      <c r="W872" s="18"/>
      <c r="X872" s="18"/>
      <c r="Y872" s="18"/>
    </row>
    <row r="873">
      <c r="M873" s="17"/>
      <c r="W873" s="18"/>
      <c r="X873" s="18"/>
      <c r="Y873" s="18"/>
    </row>
    <row r="874">
      <c r="M874" s="17"/>
      <c r="W874" s="18"/>
      <c r="X874" s="18"/>
      <c r="Y874" s="18"/>
    </row>
    <row r="875">
      <c r="M875" s="17"/>
      <c r="W875" s="18"/>
      <c r="X875" s="18"/>
      <c r="Y875" s="18"/>
    </row>
    <row r="876">
      <c r="M876" s="17"/>
      <c r="W876" s="18"/>
      <c r="X876" s="18"/>
      <c r="Y876" s="18"/>
    </row>
    <row r="877">
      <c r="M877" s="17"/>
      <c r="W877" s="18"/>
      <c r="X877" s="18"/>
      <c r="Y877" s="18"/>
    </row>
    <row r="878">
      <c r="M878" s="17"/>
      <c r="W878" s="18"/>
      <c r="X878" s="18"/>
      <c r="Y878" s="18"/>
    </row>
    <row r="879">
      <c r="M879" s="17"/>
      <c r="W879" s="18"/>
      <c r="X879" s="18"/>
      <c r="Y879" s="18"/>
    </row>
    <row r="880">
      <c r="M880" s="17"/>
      <c r="W880" s="18"/>
      <c r="X880" s="18"/>
      <c r="Y880" s="18"/>
    </row>
    <row r="881">
      <c r="M881" s="17"/>
      <c r="W881" s="18"/>
      <c r="X881" s="18"/>
      <c r="Y881" s="18"/>
    </row>
    <row r="882">
      <c r="M882" s="17"/>
      <c r="W882" s="18"/>
      <c r="X882" s="18"/>
      <c r="Y882" s="18"/>
    </row>
    <row r="883">
      <c r="M883" s="17"/>
      <c r="W883" s="18"/>
      <c r="X883" s="18"/>
      <c r="Y883" s="18"/>
    </row>
    <row r="884">
      <c r="M884" s="17"/>
      <c r="W884" s="18"/>
      <c r="X884" s="18"/>
      <c r="Y884" s="18"/>
    </row>
    <row r="885">
      <c r="M885" s="17"/>
      <c r="W885" s="18"/>
      <c r="X885" s="18"/>
      <c r="Y885" s="18"/>
    </row>
    <row r="886">
      <c r="M886" s="17"/>
      <c r="W886" s="18"/>
      <c r="X886" s="18"/>
      <c r="Y886" s="18"/>
    </row>
    <row r="887">
      <c r="M887" s="17"/>
      <c r="W887" s="18"/>
      <c r="X887" s="18"/>
      <c r="Y887" s="18"/>
    </row>
    <row r="888">
      <c r="M888" s="17"/>
      <c r="W888" s="18"/>
      <c r="X888" s="18"/>
      <c r="Y888" s="18"/>
    </row>
    <row r="889">
      <c r="M889" s="17"/>
      <c r="W889" s="18"/>
      <c r="X889" s="18"/>
      <c r="Y889" s="18"/>
    </row>
    <row r="890">
      <c r="M890" s="17"/>
      <c r="W890" s="18"/>
      <c r="X890" s="18"/>
      <c r="Y890" s="18"/>
    </row>
    <row r="891">
      <c r="M891" s="17"/>
      <c r="W891" s="18"/>
      <c r="X891" s="18"/>
      <c r="Y891" s="18"/>
    </row>
    <row r="892">
      <c r="M892" s="17"/>
      <c r="W892" s="18"/>
      <c r="X892" s="18"/>
      <c r="Y892" s="18"/>
    </row>
    <row r="893">
      <c r="M893" s="17"/>
      <c r="W893" s="18"/>
      <c r="X893" s="18"/>
      <c r="Y893" s="18"/>
    </row>
    <row r="894">
      <c r="M894" s="17"/>
      <c r="W894" s="18"/>
      <c r="X894" s="18"/>
      <c r="Y894" s="18"/>
    </row>
    <row r="895">
      <c r="M895" s="17"/>
      <c r="W895" s="18"/>
      <c r="X895" s="18"/>
      <c r="Y895" s="18"/>
    </row>
    <row r="896">
      <c r="M896" s="17"/>
      <c r="W896" s="18"/>
      <c r="X896" s="18"/>
      <c r="Y896" s="18"/>
    </row>
    <row r="897">
      <c r="M897" s="17"/>
      <c r="W897" s="18"/>
      <c r="X897" s="18"/>
      <c r="Y897" s="18"/>
    </row>
    <row r="898">
      <c r="M898" s="17"/>
      <c r="W898" s="18"/>
      <c r="X898" s="18"/>
      <c r="Y898" s="18"/>
    </row>
    <row r="899">
      <c r="M899" s="17"/>
      <c r="W899" s="18"/>
      <c r="X899" s="18"/>
      <c r="Y899" s="18"/>
    </row>
    <row r="900">
      <c r="M900" s="17"/>
      <c r="W900" s="18"/>
      <c r="X900" s="18"/>
      <c r="Y900" s="18"/>
    </row>
    <row r="901">
      <c r="M901" s="17"/>
      <c r="W901" s="18"/>
      <c r="X901" s="18"/>
      <c r="Y901" s="18"/>
    </row>
    <row r="902">
      <c r="M902" s="17"/>
      <c r="W902" s="18"/>
      <c r="X902" s="18"/>
      <c r="Y902" s="18"/>
    </row>
    <row r="903">
      <c r="M903" s="17"/>
      <c r="W903" s="18"/>
      <c r="X903" s="18"/>
      <c r="Y903" s="18"/>
    </row>
    <row r="904">
      <c r="M904" s="17"/>
      <c r="W904" s="18"/>
      <c r="X904" s="18"/>
      <c r="Y904" s="18"/>
    </row>
    <row r="905">
      <c r="M905" s="17"/>
      <c r="W905" s="18"/>
      <c r="X905" s="18"/>
      <c r="Y905" s="18"/>
    </row>
    <row r="906">
      <c r="M906" s="17"/>
      <c r="W906" s="18"/>
      <c r="X906" s="18"/>
      <c r="Y906" s="18"/>
    </row>
    <row r="907">
      <c r="M907" s="17"/>
      <c r="W907" s="18"/>
      <c r="X907" s="18"/>
      <c r="Y907" s="18"/>
    </row>
    <row r="908">
      <c r="M908" s="17"/>
      <c r="W908" s="18"/>
      <c r="X908" s="18"/>
      <c r="Y908" s="18"/>
    </row>
    <row r="909">
      <c r="M909" s="17"/>
      <c r="W909" s="18"/>
      <c r="X909" s="18"/>
      <c r="Y909" s="18"/>
    </row>
    <row r="910">
      <c r="M910" s="17"/>
      <c r="W910" s="18"/>
      <c r="X910" s="18"/>
      <c r="Y910" s="18"/>
    </row>
    <row r="911">
      <c r="M911" s="17"/>
      <c r="W911" s="18"/>
      <c r="X911" s="18"/>
      <c r="Y911" s="18"/>
    </row>
    <row r="912">
      <c r="M912" s="17"/>
      <c r="W912" s="18"/>
      <c r="X912" s="18"/>
      <c r="Y912" s="18"/>
    </row>
    <row r="913">
      <c r="M913" s="17"/>
      <c r="W913" s="18"/>
      <c r="X913" s="18"/>
      <c r="Y913" s="18"/>
    </row>
    <row r="914">
      <c r="M914" s="17"/>
      <c r="W914" s="18"/>
      <c r="X914" s="18"/>
      <c r="Y914" s="18"/>
    </row>
    <row r="915">
      <c r="M915" s="17"/>
      <c r="W915" s="18"/>
      <c r="X915" s="18"/>
      <c r="Y915" s="18"/>
    </row>
    <row r="916">
      <c r="M916" s="17"/>
      <c r="W916" s="18"/>
      <c r="X916" s="18"/>
      <c r="Y916" s="18"/>
    </row>
    <row r="917">
      <c r="M917" s="17"/>
      <c r="W917" s="18"/>
      <c r="X917" s="18"/>
      <c r="Y917" s="18"/>
    </row>
    <row r="918">
      <c r="M918" s="17"/>
      <c r="W918" s="18"/>
      <c r="X918" s="18"/>
      <c r="Y918" s="18"/>
    </row>
    <row r="919">
      <c r="M919" s="17"/>
      <c r="W919" s="18"/>
      <c r="X919" s="18"/>
      <c r="Y919" s="18"/>
    </row>
    <row r="920">
      <c r="M920" s="17"/>
      <c r="W920" s="18"/>
      <c r="X920" s="18"/>
      <c r="Y920" s="18"/>
    </row>
    <row r="921">
      <c r="M921" s="17"/>
      <c r="W921" s="18"/>
      <c r="X921" s="18"/>
      <c r="Y921" s="18"/>
    </row>
    <row r="922">
      <c r="M922" s="17"/>
      <c r="W922" s="18"/>
      <c r="X922" s="18"/>
      <c r="Y922" s="18"/>
    </row>
    <row r="923">
      <c r="M923" s="17"/>
      <c r="W923" s="18"/>
      <c r="X923" s="18"/>
      <c r="Y923" s="18"/>
    </row>
    <row r="924">
      <c r="M924" s="17"/>
      <c r="W924" s="18"/>
      <c r="X924" s="18"/>
      <c r="Y924" s="18"/>
    </row>
    <row r="925">
      <c r="M925" s="17"/>
      <c r="W925" s="18"/>
      <c r="X925" s="18"/>
      <c r="Y925" s="18"/>
    </row>
    <row r="926">
      <c r="M926" s="17"/>
      <c r="W926" s="18"/>
      <c r="X926" s="18"/>
      <c r="Y926" s="18"/>
    </row>
    <row r="927">
      <c r="M927" s="17"/>
      <c r="W927" s="18"/>
      <c r="X927" s="18"/>
      <c r="Y927" s="18"/>
    </row>
    <row r="928">
      <c r="M928" s="17"/>
      <c r="W928" s="18"/>
      <c r="X928" s="18"/>
      <c r="Y928" s="18"/>
    </row>
    <row r="929">
      <c r="M929" s="17"/>
      <c r="W929" s="18"/>
      <c r="X929" s="18"/>
      <c r="Y929" s="18"/>
    </row>
    <row r="930">
      <c r="M930" s="17"/>
      <c r="W930" s="18"/>
      <c r="X930" s="18"/>
      <c r="Y930" s="18"/>
    </row>
    <row r="931">
      <c r="M931" s="17"/>
      <c r="W931" s="18"/>
      <c r="X931" s="18"/>
      <c r="Y931" s="18"/>
    </row>
    <row r="932">
      <c r="M932" s="17"/>
      <c r="W932" s="18"/>
      <c r="X932" s="18"/>
      <c r="Y932" s="18"/>
    </row>
    <row r="933">
      <c r="M933" s="17"/>
      <c r="W933" s="18"/>
      <c r="X933" s="18"/>
      <c r="Y933" s="18"/>
    </row>
    <row r="934">
      <c r="M934" s="17"/>
      <c r="W934" s="18"/>
      <c r="X934" s="18"/>
      <c r="Y934" s="18"/>
    </row>
    <row r="935">
      <c r="M935" s="17"/>
      <c r="W935" s="18"/>
      <c r="X935" s="18"/>
      <c r="Y935" s="18"/>
    </row>
    <row r="936">
      <c r="M936" s="17"/>
      <c r="W936" s="18"/>
      <c r="X936" s="18"/>
      <c r="Y936" s="18"/>
    </row>
    <row r="937">
      <c r="M937" s="17"/>
      <c r="W937" s="18"/>
      <c r="X937" s="18"/>
      <c r="Y937" s="18"/>
    </row>
    <row r="938">
      <c r="M938" s="17"/>
      <c r="W938" s="18"/>
      <c r="X938" s="18"/>
      <c r="Y938" s="18"/>
    </row>
    <row r="939">
      <c r="M939" s="17"/>
      <c r="W939" s="18"/>
      <c r="X939" s="18"/>
      <c r="Y939" s="18"/>
    </row>
    <row r="940">
      <c r="M940" s="17"/>
      <c r="W940" s="18"/>
      <c r="X940" s="18"/>
      <c r="Y940" s="18"/>
    </row>
    <row r="941">
      <c r="M941" s="17"/>
      <c r="W941" s="18"/>
      <c r="X941" s="18"/>
      <c r="Y941" s="18"/>
    </row>
    <row r="942">
      <c r="M942" s="17"/>
      <c r="W942" s="18"/>
      <c r="X942" s="18"/>
      <c r="Y942" s="18"/>
    </row>
    <row r="943">
      <c r="M943" s="17"/>
      <c r="W943" s="18"/>
      <c r="X943" s="18"/>
      <c r="Y943" s="18"/>
    </row>
    <row r="944">
      <c r="M944" s="17"/>
      <c r="W944" s="18"/>
      <c r="X944" s="18"/>
      <c r="Y944" s="18"/>
    </row>
    <row r="945">
      <c r="M945" s="17"/>
      <c r="W945" s="18"/>
      <c r="X945" s="18"/>
      <c r="Y945" s="18"/>
    </row>
    <row r="946">
      <c r="M946" s="17"/>
      <c r="W946" s="18"/>
      <c r="X946" s="18"/>
      <c r="Y946" s="18"/>
    </row>
    <row r="947">
      <c r="M947" s="17"/>
      <c r="W947" s="18"/>
      <c r="X947" s="18"/>
      <c r="Y947" s="18"/>
    </row>
    <row r="948">
      <c r="M948" s="17"/>
      <c r="W948" s="18"/>
      <c r="X948" s="18"/>
      <c r="Y948" s="18"/>
    </row>
    <row r="949">
      <c r="M949" s="17"/>
      <c r="W949" s="18"/>
      <c r="X949" s="18"/>
      <c r="Y949" s="18"/>
    </row>
    <row r="950">
      <c r="M950" s="17"/>
      <c r="W950" s="18"/>
      <c r="X950" s="18"/>
      <c r="Y950" s="18"/>
    </row>
    <row r="951">
      <c r="M951" s="17"/>
      <c r="W951" s="18"/>
      <c r="X951" s="18"/>
      <c r="Y951" s="18"/>
    </row>
    <row r="952">
      <c r="M952" s="17"/>
      <c r="W952" s="18"/>
      <c r="X952" s="18"/>
      <c r="Y952" s="18"/>
    </row>
    <row r="953">
      <c r="M953" s="17"/>
      <c r="W953" s="18"/>
      <c r="X953" s="18"/>
      <c r="Y953" s="18"/>
    </row>
    <row r="954">
      <c r="M954" s="17"/>
      <c r="W954" s="18"/>
      <c r="X954" s="18"/>
      <c r="Y954" s="18"/>
    </row>
    <row r="955">
      <c r="M955" s="17"/>
      <c r="W955" s="18"/>
      <c r="X955" s="18"/>
      <c r="Y955" s="18"/>
    </row>
    <row r="956">
      <c r="M956" s="17"/>
      <c r="W956" s="18"/>
      <c r="X956" s="18"/>
      <c r="Y956" s="18"/>
    </row>
    <row r="957">
      <c r="M957" s="17"/>
      <c r="W957" s="18"/>
      <c r="X957" s="18"/>
      <c r="Y957" s="18"/>
    </row>
    <row r="958">
      <c r="M958" s="17"/>
      <c r="W958" s="18"/>
      <c r="X958" s="18"/>
      <c r="Y958" s="18"/>
    </row>
    <row r="959">
      <c r="M959" s="17"/>
      <c r="W959" s="18"/>
      <c r="X959" s="18"/>
      <c r="Y959" s="18"/>
    </row>
    <row r="960">
      <c r="M960" s="17"/>
      <c r="W960" s="18"/>
      <c r="X960" s="18"/>
      <c r="Y960" s="18"/>
    </row>
    <row r="961">
      <c r="M961" s="17"/>
      <c r="W961" s="18"/>
      <c r="X961" s="18"/>
      <c r="Y961" s="18"/>
    </row>
    <row r="962">
      <c r="M962" s="17"/>
      <c r="W962" s="18"/>
      <c r="X962" s="18"/>
      <c r="Y962" s="18"/>
    </row>
    <row r="963">
      <c r="M963" s="17"/>
      <c r="W963" s="18"/>
      <c r="X963" s="18"/>
      <c r="Y963" s="18"/>
    </row>
    <row r="964">
      <c r="M964" s="17"/>
      <c r="W964" s="18"/>
      <c r="X964" s="18"/>
      <c r="Y964" s="18"/>
    </row>
    <row r="965">
      <c r="M965" s="17"/>
      <c r="W965" s="18"/>
      <c r="X965" s="18"/>
      <c r="Y965" s="18"/>
    </row>
    <row r="966">
      <c r="M966" s="17"/>
      <c r="W966" s="18"/>
      <c r="X966" s="18"/>
      <c r="Y966" s="18"/>
    </row>
    <row r="967">
      <c r="M967" s="17"/>
      <c r="W967" s="18"/>
      <c r="X967" s="18"/>
      <c r="Y967" s="18"/>
    </row>
    <row r="968">
      <c r="M968" s="17"/>
      <c r="W968" s="18"/>
      <c r="X968" s="18"/>
      <c r="Y968" s="18"/>
    </row>
    <row r="969">
      <c r="M969" s="17"/>
      <c r="W969" s="18"/>
      <c r="X969" s="18"/>
      <c r="Y969" s="18"/>
    </row>
    <row r="970">
      <c r="M970" s="17"/>
      <c r="W970" s="18"/>
      <c r="X970" s="18"/>
      <c r="Y970" s="18"/>
    </row>
    <row r="971">
      <c r="M971" s="17"/>
      <c r="W971" s="18"/>
      <c r="X971" s="18"/>
      <c r="Y971" s="18"/>
    </row>
    <row r="972">
      <c r="M972" s="17"/>
      <c r="W972" s="18"/>
      <c r="X972" s="18"/>
      <c r="Y972" s="18"/>
    </row>
    <row r="973">
      <c r="M973" s="17"/>
      <c r="W973" s="18"/>
      <c r="X973" s="18"/>
      <c r="Y973" s="18"/>
    </row>
    <row r="974">
      <c r="M974" s="17"/>
      <c r="W974" s="18"/>
      <c r="X974" s="18"/>
      <c r="Y974" s="18"/>
    </row>
    <row r="975">
      <c r="M975" s="17"/>
      <c r="W975" s="18"/>
      <c r="X975" s="18"/>
      <c r="Y975" s="18"/>
    </row>
    <row r="976">
      <c r="M976" s="17"/>
      <c r="W976" s="18"/>
      <c r="X976" s="18"/>
      <c r="Y976" s="18"/>
    </row>
    <row r="977">
      <c r="M977" s="17"/>
      <c r="W977" s="18"/>
      <c r="X977" s="18"/>
      <c r="Y977" s="18"/>
    </row>
    <row r="978">
      <c r="M978" s="17"/>
      <c r="W978" s="18"/>
      <c r="X978" s="18"/>
      <c r="Y978" s="18"/>
    </row>
    <row r="979">
      <c r="M979" s="17"/>
      <c r="W979" s="18"/>
      <c r="X979" s="18"/>
      <c r="Y979" s="18"/>
    </row>
    <row r="980">
      <c r="M980" s="17"/>
      <c r="W980" s="18"/>
      <c r="X980" s="18"/>
      <c r="Y980" s="18"/>
    </row>
    <row r="981">
      <c r="M981" s="17"/>
      <c r="W981" s="18"/>
      <c r="X981" s="18"/>
      <c r="Y981" s="18"/>
    </row>
    <row r="982">
      <c r="M982" s="17"/>
      <c r="W982" s="18"/>
      <c r="X982" s="18"/>
      <c r="Y982" s="18"/>
    </row>
    <row r="983">
      <c r="M983" s="17"/>
      <c r="W983" s="18"/>
      <c r="X983" s="18"/>
      <c r="Y983" s="18"/>
    </row>
    <row r="984">
      <c r="M984" s="17"/>
      <c r="W984" s="18"/>
      <c r="X984" s="18"/>
      <c r="Y984" s="18"/>
    </row>
    <row r="985">
      <c r="M985" s="17"/>
      <c r="W985" s="18"/>
      <c r="X985" s="18"/>
      <c r="Y985" s="18"/>
    </row>
    <row r="986">
      <c r="M986" s="17"/>
      <c r="W986" s="18"/>
      <c r="X986" s="18"/>
      <c r="Y986" s="18"/>
    </row>
    <row r="987">
      <c r="M987" s="17"/>
      <c r="W987" s="18"/>
      <c r="X987" s="18"/>
      <c r="Y987" s="18"/>
    </row>
    <row r="988">
      <c r="M988" s="17"/>
      <c r="W988" s="18"/>
      <c r="X988" s="18"/>
      <c r="Y988" s="18"/>
    </row>
    <row r="989">
      <c r="M989" s="17"/>
      <c r="W989" s="18"/>
      <c r="X989" s="18"/>
      <c r="Y989" s="18"/>
    </row>
    <row r="990">
      <c r="M990" s="17"/>
      <c r="W990" s="18"/>
      <c r="X990" s="18"/>
      <c r="Y990" s="18"/>
    </row>
    <row r="991">
      <c r="M991" s="17"/>
      <c r="W991" s="18"/>
      <c r="X991" s="18"/>
      <c r="Y991" s="18"/>
    </row>
    <row r="992">
      <c r="M992" s="17"/>
      <c r="W992" s="18"/>
      <c r="X992" s="18"/>
      <c r="Y992" s="18"/>
    </row>
    <row r="993">
      <c r="M993" s="17"/>
      <c r="W993" s="18"/>
      <c r="X993" s="18"/>
      <c r="Y993" s="18"/>
    </row>
    <row r="994">
      <c r="M994" s="17"/>
      <c r="W994" s="18"/>
      <c r="X994" s="18"/>
      <c r="Y994" s="18"/>
    </row>
    <row r="995">
      <c r="M995" s="17"/>
      <c r="W995" s="18"/>
      <c r="X995" s="18"/>
      <c r="Y995" s="18"/>
    </row>
    <row r="996">
      <c r="M996" s="17"/>
      <c r="W996" s="18"/>
      <c r="X996" s="18"/>
      <c r="Y996" s="18"/>
    </row>
    <row r="997">
      <c r="M997" s="17"/>
      <c r="W997" s="18"/>
      <c r="X997" s="18"/>
      <c r="Y997" s="18"/>
    </row>
    <row r="998">
      <c r="M998" s="17"/>
      <c r="W998" s="18"/>
      <c r="X998" s="18"/>
      <c r="Y998" s="18"/>
    </row>
    <row r="999">
      <c r="M999" s="17"/>
      <c r="W999" s="18"/>
      <c r="X999" s="18"/>
      <c r="Y999" s="18"/>
    </row>
    <row r="1000">
      <c r="M1000" s="17"/>
      <c r="W1000" s="18"/>
      <c r="X1000" s="18"/>
      <c r="Y1000" s="18"/>
    </row>
  </sheetData>
  <mergeCells count="1">
    <mergeCell ref="B20:D20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3" width="9.0"/>
    <col customWidth="1" min="4" max="4" width="7.71"/>
    <col customWidth="1" min="5" max="5" width="10.29"/>
    <col customWidth="1" min="6" max="6" width="7.0"/>
  </cols>
  <sheetData>
    <row r="1" ht="22.5" customHeight="1">
      <c r="A1" s="1" t="s">
        <v>0</v>
      </c>
      <c r="B1" s="2" t="s">
        <v>1</v>
      </c>
      <c r="C1" s="2" t="s">
        <v>3</v>
      </c>
      <c r="D1" s="2" t="s">
        <v>4</v>
      </c>
      <c r="E1" s="3" t="s">
        <v>21</v>
      </c>
    </row>
    <row r="2" ht="22.5" customHeight="1">
      <c r="A2" s="5" t="s">
        <v>25</v>
      </c>
      <c r="B2" s="6">
        <f>COUNTIF(Game_Data[Player],$A2)</f>
        <v>21</v>
      </c>
      <c r="C2" s="6">
        <f>SUMIF(Game_Data[Player],$A2,Game_Data[AB])</f>
        <v>77</v>
      </c>
      <c r="D2" s="6">
        <f>SUMIF(Game_Data[Player],$A2,Game_Data[H])</f>
        <v>59</v>
      </c>
      <c r="E2" s="9">
        <f t="shared" ref="E2:E17" si="1">IFERROR(D2/C2,0)</f>
        <v>0.7662337662</v>
      </c>
    </row>
    <row r="3" ht="22.5" customHeight="1">
      <c r="A3" s="5" t="s">
        <v>26</v>
      </c>
      <c r="B3" s="6">
        <f>COUNTIF(Game_Data[Player],$A3)</f>
        <v>31</v>
      </c>
      <c r="C3" s="6">
        <f>SUMIF(Game_Data[Player],$A3,Game_Data[AB])</f>
        <v>119</v>
      </c>
      <c r="D3" s="6">
        <f>SUMIF(Game_Data[Player],$A3,Game_Data[H])</f>
        <v>88</v>
      </c>
      <c r="E3" s="9">
        <f t="shared" si="1"/>
        <v>0.7394957983</v>
      </c>
    </row>
    <row r="4" ht="22.5" customHeight="1">
      <c r="A4" s="5" t="s">
        <v>27</v>
      </c>
      <c r="B4" s="6">
        <f>COUNTIF(Game_Data[Player],$A4)</f>
        <v>26</v>
      </c>
      <c r="C4" s="6">
        <f>SUMIF(Game_Data[Player],$A4,Game_Data[AB])</f>
        <v>94</v>
      </c>
      <c r="D4" s="6">
        <f>SUMIF(Game_Data[Player],$A4,Game_Data[H])</f>
        <v>59</v>
      </c>
      <c r="E4" s="9">
        <f t="shared" si="1"/>
        <v>0.6276595745</v>
      </c>
    </row>
    <row r="5" ht="22.5" customHeight="1">
      <c r="A5" s="5" t="s">
        <v>28</v>
      </c>
      <c r="B5" s="6">
        <f>COUNTIF(Game_Data[Player],$A5)</f>
        <v>30</v>
      </c>
      <c r="C5" s="6">
        <f>SUMIF(Game_Data[Player],$A5,Game_Data[AB])</f>
        <v>115</v>
      </c>
      <c r="D5" s="6">
        <f>SUMIF(Game_Data[Player],$A5,Game_Data[H])</f>
        <v>72</v>
      </c>
      <c r="E5" s="9">
        <f t="shared" si="1"/>
        <v>0.6260869565</v>
      </c>
    </row>
    <row r="6" ht="22.5" customHeight="1">
      <c r="A6" s="5" t="s">
        <v>29</v>
      </c>
      <c r="B6" s="6">
        <f>COUNTIF(Game_Data[Player],$A6)</f>
        <v>33</v>
      </c>
      <c r="C6" s="6">
        <f>SUMIF(Game_Data[Player],$A6,Game_Data[AB])</f>
        <v>114</v>
      </c>
      <c r="D6" s="6">
        <f>SUMIF(Game_Data[Player],$A6,Game_Data[H])</f>
        <v>70</v>
      </c>
      <c r="E6" s="9">
        <f t="shared" si="1"/>
        <v>0.6140350877</v>
      </c>
    </row>
    <row r="7" ht="22.5" customHeight="1">
      <c r="A7" s="5" t="s">
        <v>30</v>
      </c>
      <c r="B7" s="6">
        <f>COUNTIF(Game_Data[Player],$A7)</f>
        <v>31</v>
      </c>
      <c r="C7" s="6">
        <f>SUMIF(Game_Data[Player],$A7,Game_Data[AB])</f>
        <v>116</v>
      </c>
      <c r="D7" s="6">
        <f>SUMIF(Game_Data[Player],$A7,Game_Data[H])</f>
        <v>71</v>
      </c>
      <c r="E7" s="9">
        <f t="shared" si="1"/>
        <v>0.6120689655</v>
      </c>
    </row>
    <row r="8" ht="22.5" customHeight="1">
      <c r="A8" s="5" t="s">
        <v>31</v>
      </c>
      <c r="B8" s="6">
        <f>COUNTIF(Game_Data[Player],$A8)</f>
        <v>8</v>
      </c>
      <c r="C8" s="6">
        <f>SUMIF(Game_Data[Player],$A8,Game_Data[AB])</f>
        <v>28</v>
      </c>
      <c r="D8" s="6">
        <f>SUMIF(Game_Data[Player],$A8,Game_Data[H])</f>
        <v>17</v>
      </c>
      <c r="E8" s="9">
        <f t="shared" si="1"/>
        <v>0.6071428571</v>
      </c>
    </row>
    <row r="9" ht="22.5" customHeight="1">
      <c r="A9" s="5" t="s">
        <v>32</v>
      </c>
      <c r="B9" s="6">
        <f>COUNTIF(Game_Data[Player],$A9)</f>
        <v>23</v>
      </c>
      <c r="C9" s="6">
        <f>SUMIF(Game_Data[Player],$A9,Game_Data[AB])</f>
        <v>85</v>
      </c>
      <c r="D9" s="6">
        <f>SUMIF(Game_Data[Player],$A9,Game_Data[H])</f>
        <v>51</v>
      </c>
      <c r="E9" s="9">
        <f t="shared" si="1"/>
        <v>0.6</v>
      </c>
    </row>
    <row r="10" ht="22.5" customHeight="1">
      <c r="A10" s="5" t="s">
        <v>33</v>
      </c>
      <c r="B10" s="6">
        <f>COUNTIF(Game_Data[Player],$A10)</f>
        <v>31</v>
      </c>
      <c r="C10" s="6">
        <f>SUMIF(Game_Data[Player],$A10,Game_Data[AB])</f>
        <v>117</v>
      </c>
      <c r="D10" s="6">
        <f>SUMIF(Game_Data[Player],$A10,Game_Data[H])</f>
        <v>70</v>
      </c>
      <c r="E10" s="9">
        <f t="shared" si="1"/>
        <v>0.5982905983</v>
      </c>
    </row>
    <row r="11" ht="22.5" customHeight="1">
      <c r="A11" s="5" t="s">
        <v>34</v>
      </c>
      <c r="B11" s="6">
        <f>COUNTIF(Game_Data[Player],$A11)</f>
        <v>26</v>
      </c>
      <c r="C11" s="6">
        <f>SUMIF(Game_Data[Player],$A11,Game_Data[AB])</f>
        <v>94</v>
      </c>
      <c r="D11" s="6">
        <f>SUMIF(Game_Data[Player],$A11,Game_Data[H])</f>
        <v>56</v>
      </c>
      <c r="E11" s="9">
        <f t="shared" si="1"/>
        <v>0.5957446809</v>
      </c>
    </row>
    <row r="12" ht="22.5" customHeight="1">
      <c r="A12" s="5" t="s">
        <v>35</v>
      </c>
      <c r="B12" s="6">
        <f>COUNTIF(Game_Data[Player],$A12)</f>
        <v>22</v>
      </c>
      <c r="C12" s="6">
        <f>SUMIF(Game_Data[Player],$A12,Game_Data[AB])</f>
        <v>79</v>
      </c>
      <c r="D12" s="6">
        <f>SUMIF(Game_Data[Player],$A12,Game_Data[H])</f>
        <v>43</v>
      </c>
      <c r="E12" s="9">
        <f t="shared" si="1"/>
        <v>0.5443037975</v>
      </c>
    </row>
    <row r="13" ht="22.5" customHeight="1">
      <c r="A13" s="5" t="s">
        <v>36</v>
      </c>
      <c r="B13" s="6">
        <f>COUNTIF(Game_Data[Player],$A13)</f>
        <v>37</v>
      </c>
      <c r="C13" s="6">
        <f>SUMIF(Game_Data[Player],$A13,Game_Data[AB])</f>
        <v>131</v>
      </c>
      <c r="D13" s="6">
        <f>SUMIF(Game_Data[Player],$A13,Game_Data[H])</f>
        <v>63</v>
      </c>
      <c r="E13" s="9">
        <f t="shared" si="1"/>
        <v>0.4809160305</v>
      </c>
    </row>
    <row r="14" ht="22.5" customHeight="1">
      <c r="A14" s="5" t="s">
        <v>37</v>
      </c>
      <c r="B14" s="6">
        <f>COUNTIF(Game_Data[Player],$A14)</f>
        <v>23</v>
      </c>
      <c r="C14" s="6">
        <f>SUMIF(Game_Data[Player],$A14,Game_Data[AB])</f>
        <v>80</v>
      </c>
      <c r="D14" s="6">
        <f>SUMIF(Game_Data[Player],$A14,Game_Data[H])</f>
        <v>37</v>
      </c>
      <c r="E14" s="9">
        <f t="shared" si="1"/>
        <v>0.4625</v>
      </c>
    </row>
    <row r="15" ht="22.5" customHeight="1">
      <c r="A15" s="12" t="s">
        <v>38</v>
      </c>
      <c r="B15" s="6">
        <f>COUNTIF(Game_Data[Player],$A15)</f>
        <v>37</v>
      </c>
      <c r="C15" s="6">
        <f>SUMIF(Game_Data[Player],$A15,Game_Data[AB])</f>
        <v>123</v>
      </c>
      <c r="D15" s="6">
        <f>SUMIF(Game_Data[Player],$A15,Game_Data[H])</f>
        <v>55</v>
      </c>
      <c r="E15" s="9">
        <f t="shared" si="1"/>
        <v>0.4471544715</v>
      </c>
    </row>
    <row r="16" ht="22.5" customHeight="1">
      <c r="A16" s="12" t="s">
        <v>39</v>
      </c>
      <c r="B16" s="6">
        <f>COUNTIF(Game_Data[Player],$A16)</f>
        <v>18</v>
      </c>
      <c r="C16" s="6">
        <f>SUMIF(Game_Data[Player],$A16,Game_Data[AB])</f>
        <v>55</v>
      </c>
      <c r="D16" s="6">
        <f>SUMIF(Game_Data[Player],$A16,Game_Data[H])</f>
        <v>22</v>
      </c>
      <c r="E16" s="9">
        <f t="shared" si="1"/>
        <v>0.4</v>
      </c>
    </row>
    <row r="17" ht="22.5" customHeight="1">
      <c r="A17" s="5" t="s">
        <v>40</v>
      </c>
      <c r="B17" s="6">
        <f>COUNTIF(Game_Data[Player],$A17)</f>
        <v>20</v>
      </c>
      <c r="C17" s="6">
        <f>SUMIF(Game_Data[Player],$A17,Game_Data[AB])</f>
        <v>67</v>
      </c>
      <c r="D17" s="6">
        <f>SUMIF(Game_Data[Player],$A17,Game_Data[H])</f>
        <v>21</v>
      </c>
      <c r="E17" s="9">
        <f t="shared" si="1"/>
        <v>0.3134328358</v>
      </c>
    </row>
    <row r="18" ht="22.5" customHeight="1">
      <c r="A18" s="13" t="s">
        <v>41</v>
      </c>
      <c r="B18" s="14">
        <f>MAX(Game_Data[Game #])</f>
        <v>38</v>
      </c>
      <c r="C18" s="15">
        <f>SUBTOTAL(9, AVG[AB])</f>
        <v>1494</v>
      </c>
      <c r="D18" s="15">
        <f>SUBTOTAL(9, AVG[H])</f>
        <v>854</v>
      </c>
      <c r="E18" s="10">
        <f>AVG[[#TOTALS],[H]]/AVG[[#TOTALS],[AB]]</f>
        <v>0.5716198126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9.0"/>
    <col customWidth="1" min="3" max="3" width="8.86"/>
    <col customWidth="1" min="4" max="4" width="7.71"/>
    <col customWidth="1" min="5" max="5" width="8.86"/>
    <col customWidth="1" min="6" max="6" width="10.29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4</v>
      </c>
      <c r="E1" s="3" t="s">
        <v>11</v>
      </c>
      <c r="F1" s="3" t="s">
        <v>22</v>
      </c>
    </row>
    <row r="2" ht="22.5" customHeight="1">
      <c r="A2" s="5" t="s">
        <v>25</v>
      </c>
      <c r="B2" s="6">
        <f>COUNTIF(Game_Data[Player],$A2)</f>
        <v>21</v>
      </c>
      <c r="C2" s="6">
        <f>SUMIF(Game_Data[Player],$A2,Game_Data[PA])</f>
        <v>86</v>
      </c>
      <c r="D2" s="6">
        <f>SUMIF(Game_Data[Player],$A2,Game_Data[H])</f>
        <v>59</v>
      </c>
      <c r="E2" s="7">
        <f>SUMIF(Game_Data[Player],$A2,Game_Data[BB])</f>
        <v>5</v>
      </c>
      <c r="F2" s="10">
        <f t="shared" ref="F2:F17" si="1">IFERROR((D2+E2)/C2,0)</f>
        <v>0.7441860465</v>
      </c>
    </row>
    <row r="3" ht="22.5" customHeight="1">
      <c r="A3" s="5" t="s">
        <v>26</v>
      </c>
      <c r="B3" s="6">
        <f>COUNTIF(Game_Data[Player],$A3)</f>
        <v>31</v>
      </c>
      <c r="C3" s="6">
        <f>SUMIF(Game_Data[Player],$A3,Game_Data[PA])</f>
        <v>134</v>
      </c>
      <c r="D3" s="6">
        <f>SUMIF(Game_Data[Player],$A3,Game_Data[H])</f>
        <v>88</v>
      </c>
      <c r="E3" s="7">
        <f>SUMIF(Game_Data[Player],$A3,Game_Data[BB])</f>
        <v>10</v>
      </c>
      <c r="F3" s="10">
        <f t="shared" si="1"/>
        <v>0.7313432836</v>
      </c>
    </row>
    <row r="4" ht="22.5" customHeight="1">
      <c r="A4" s="5" t="s">
        <v>28</v>
      </c>
      <c r="B4" s="6">
        <f>COUNTIF(Game_Data[Player],$A4)</f>
        <v>30</v>
      </c>
      <c r="C4" s="6">
        <f>SUMIF(Game_Data[Player],$A4,Game_Data[PA])</f>
        <v>123</v>
      </c>
      <c r="D4" s="6">
        <f>SUMIF(Game_Data[Player],$A4,Game_Data[H])</f>
        <v>72</v>
      </c>
      <c r="E4" s="7">
        <f>SUMIF(Game_Data[Player],$A4,Game_Data[BB])</f>
        <v>7</v>
      </c>
      <c r="F4" s="10">
        <f t="shared" si="1"/>
        <v>0.6422764228</v>
      </c>
    </row>
    <row r="5" ht="22.5" customHeight="1">
      <c r="A5" s="5" t="s">
        <v>27</v>
      </c>
      <c r="B5" s="6">
        <f>COUNTIF(Game_Data[Player],$A5)</f>
        <v>26</v>
      </c>
      <c r="C5" s="6">
        <f>SUMIF(Game_Data[Player],$A5,Game_Data[PA])</f>
        <v>105</v>
      </c>
      <c r="D5" s="6">
        <f>SUMIF(Game_Data[Player],$A5,Game_Data[H])</f>
        <v>59</v>
      </c>
      <c r="E5" s="7">
        <f>SUMIF(Game_Data[Player],$A5,Game_Data[BB])</f>
        <v>7</v>
      </c>
      <c r="F5" s="10">
        <f t="shared" si="1"/>
        <v>0.6285714286</v>
      </c>
    </row>
    <row r="6" ht="22.5" customHeight="1">
      <c r="A6" s="5" t="s">
        <v>29</v>
      </c>
      <c r="B6" s="6">
        <f>COUNTIF(Game_Data[Player],$A6)</f>
        <v>33</v>
      </c>
      <c r="C6" s="6">
        <f>SUMIF(Game_Data[Player],$A6,Game_Data[PA])</f>
        <v>126</v>
      </c>
      <c r="D6" s="6">
        <f>SUMIF(Game_Data[Player],$A6,Game_Data[H])</f>
        <v>70</v>
      </c>
      <c r="E6" s="7">
        <f>SUMIF(Game_Data[Player],$A6,Game_Data[BB])</f>
        <v>9</v>
      </c>
      <c r="F6" s="10">
        <f t="shared" si="1"/>
        <v>0.626984127</v>
      </c>
    </row>
    <row r="7" ht="22.5" customHeight="1">
      <c r="A7" s="5" t="s">
        <v>30</v>
      </c>
      <c r="B7" s="6">
        <f>COUNTIF(Game_Data[Player],$A7)</f>
        <v>31</v>
      </c>
      <c r="C7" s="6">
        <f>SUMIF(Game_Data[Player],$A7,Game_Data[PA])</f>
        <v>131</v>
      </c>
      <c r="D7" s="6">
        <f>SUMIF(Game_Data[Player],$A7,Game_Data[H])</f>
        <v>71</v>
      </c>
      <c r="E7" s="7">
        <f>SUMIF(Game_Data[Player],$A7,Game_Data[BB])</f>
        <v>9</v>
      </c>
      <c r="F7" s="10">
        <f t="shared" si="1"/>
        <v>0.6106870229</v>
      </c>
    </row>
    <row r="8" ht="22.5" customHeight="1">
      <c r="A8" s="5" t="s">
        <v>31</v>
      </c>
      <c r="B8" s="6">
        <f>COUNTIF(Game_Data[Player],$A8)</f>
        <v>8</v>
      </c>
      <c r="C8" s="6">
        <f>SUMIF(Game_Data[Player],$A8,Game_Data[PA])</f>
        <v>28</v>
      </c>
      <c r="D8" s="6">
        <f>SUMIF(Game_Data[Player],$A8,Game_Data[H])</f>
        <v>17</v>
      </c>
      <c r="E8" s="7">
        <f>SUMIF(Game_Data[Player],$A8,Game_Data[BB])</f>
        <v>0</v>
      </c>
      <c r="F8" s="10">
        <f t="shared" si="1"/>
        <v>0.6071428571</v>
      </c>
    </row>
    <row r="9" ht="22.5" customHeight="1">
      <c r="A9" s="5" t="s">
        <v>32</v>
      </c>
      <c r="B9" s="6">
        <f>COUNTIF(Game_Data[Player],$A9)</f>
        <v>23</v>
      </c>
      <c r="C9" s="6">
        <f>SUMIF(Game_Data[Player],$A9,Game_Data[PA])</f>
        <v>92</v>
      </c>
      <c r="D9" s="6">
        <f>SUMIF(Game_Data[Player],$A9,Game_Data[H])</f>
        <v>51</v>
      </c>
      <c r="E9" s="7">
        <f>SUMIF(Game_Data[Player],$A9,Game_Data[BB])</f>
        <v>4</v>
      </c>
      <c r="F9" s="10">
        <f t="shared" si="1"/>
        <v>0.597826087</v>
      </c>
    </row>
    <row r="10" ht="22.5" customHeight="1">
      <c r="A10" s="5" t="s">
        <v>34</v>
      </c>
      <c r="B10" s="6">
        <f>COUNTIF(Game_Data[Player],$A10)</f>
        <v>26</v>
      </c>
      <c r="C10" s="6">
        <f>SUMIF(Game_Data[Player],$A10,Game_Data[PA])</f>
        <v>95</v>
      </c>
      <c r="D10" s="6">
        <f>SUMIF(Game_Data[Player],$A10,Game_Data[H])</f>
        <v>56</v>
      </c>
      <c r="E10" s="7">
        <f>SUMIF(Game_Data[Player],$A10,Game_Data[BB])</f>
        <v>0</v>
      </c>
      <c r="F10" s="10">
        <f t="shared" si="1"/>
        <v>0.5894736842</v>
      </c>
    </row>
    <row r="11" ht="22.5" customHeight="1">
      <c r="A11" s="5" t="s">
        <v>33</v>
      </c>
      <c r="B11" s="6">
        <f>COUNTIF(Game_Data[Player],$A11)</f>
        <v>31</v>
      </c>
      <c r="C11" s="6">
        <f>SUMIF(Game_Data[Player],$A11,Game_Data[PA])</f>
        <v>128</v>
      </c>
      <c r="D11" s="6">
        <f>SUMIF(Game_Data[Player],$A11,Game_Data[H])</f>
        <v>70</v>
      </c>
      <c r="E11" s="7">
        <f>SUMIF(Game_Data[Player],$A11,Game_Data[BB])</f>
        <v>3</v>
      </c>
      <c r="F11" s="10">
        <f t="shared" si="1"/>
        <v>0.5703125</v>
      </c>
    </row>
    <row r="12" ht="22.5" customHeight="1">
      <c r="A12" s="5" t="s">
        <v>35</v>
      </c>
      <c r="B12" s="6">
        <f>COUNTIF(Game_Data[Player],$A12)</f>
        <v>22</v>
      </c>
      <c r="C12" s="6">
        <f>SUMIF(Game_Data[Player],$A12,Game_Data[PA])</f>
        <v>82</v>
      </c>
      <c r="D12" s="6">
        <f>SUMIF(Game_Data[Player],$A12,Game_Data[H])</f>
        <v>43</v>
      </c>
      <c r="E12" s="7">
        <f>SUMIF(Game_Data[Player],$A12,Game_Data[BB])</f>
        <v>0</v>
      </c>
      <c r="F12" s="10">
        <f t="shared" si="1"/>
        <v>0.5243902439</v>
      </c>
    </row>
    <row r="13" ht="22.5" customHeight="1">
      <c r="A13" s="5" t="s">
        <v>36</v>
      </c>
      <c r="B13" s="6">
        <f>COUNTIF(Game_Data[Player],$A13)</f>
        <v>37</v>
      </c>
      <c r="C13" s="6">
        <f>SUMIF(Game_Data[Player],$A13,Game_Data[PA])</f>
        <v>137</v>
      </c>
      <c r="D13" s="6">
        <f>SUMIF(Game_Data[Player],$A13,Game_Data[H])</f>
        <v>63</v>
      </c>
      <c r="E13" s="6">
        <f>SUMIF(Game_Data[Player],$A13,Game_Data[BB])</f>
        <v>3</v>
      </c>
      <c r="F13" s="10">
        <f t="shared" si="1"/>
        <v>0.4817518248</v>
      </c>
    </row>
    <row r="14" ht="22.5" customHeight="1">
      <c r="A14" s="5" t="s">
        <v>37</v>
      </c>
      <c r="B14" s="6">
        <f>COUNTIF(Game_Data[Player],$A14)</f>
        <v>23</v>
      </c>
      <c r="C14" s="6">
        <f>SUMIF(Game_Data[Player],$A14,Game_Data[PA])</f>
        <v>86</v>
      </c>
      <c r="D14" s="6">
        <f>SUMIF(Game_Data[Player],$A14,Game_Data[H])</f>
        <v>37</v>
      </c>
      <c r="E14" s="7">
        <f>SUMIF(Game_Data[Player],$A14,Game_Data[BB])</f>
        <v>4</v>
      </c>
      <c r="F14" s="10">
        <f t="shared" si="1"/>
        <v>0.476744186</v>
      </c>
    </row>
    <row r="15" ht="22.5" customHeight="1">
      <c r="A15" s="12" t="s">
        <v>38</v>
      </c>
      <c r="B15" s="6">
        <f>COUNTIF(Game_Data[Player],$A15)</f>
        <v>37</v>
      </c>
      <c r="C15" s="6">
        <f>SUMIF(Game_Data[Player],$A15,Game_Data[PA])</f>
        <v>129</v>
      </c>
      <c r="D15" s="6">
        <f>SUMIF(Game_Data[Player],$A15,Game_Data[H])</f>
        <v>55</v>
      </c>
      <c r="E15" s="7">
        <f>SUMIF(Game_Data[Player],$A15,Game_Data[BB])</f>
        <v>6</v>
      </c>
      <c r="F15" s="10">
        <f t="shared" si="1"/>
        <v>0.4728682171</v>
      </c>
    </row>
    <row r="16" ht="22.5" customHeight="1">
      <c r="A16" s="12" t="s">
        <v>39</v>
      </c>
      <c r="B16" s="6">
        <f>COUNTIF(Game_Data[Player],$A16)</f>
        <v>18</v>
      </c>
      <c r="C16" s="6">
        <f>SUMIF(Game_Data[Player],$A16,Game_Data[PA])</f>
        <v>61</v>
      </c>
      <c r="D16" s="6">
        <f>SUMIF(Game_Data[Player],$A16,Game_Data[H])</f>
        <v>22</v>
      </c>
      <c r="E16" s="7">
        <f>SUMIF(Game_Data[Player],$A16,Game_Data[BB])</f>
        <v>5</v>
      </c>
      <c r="F16" s="10">
        <f t="shared" si="1"/>
        <v>0.4426229508</v>
      </c>
    </row>
    <row r="17" ht="22.5" customHeight="1">
      <c r="A17" s="5" t="s">
        <v>40</v>
      </c>
      <c r="B17" s="6">
        <f>COUNTIF(Game_Data[Player],$A17)</f>
        <v>20</v>
      </c>
      <c r="C17" s="6">
        <f>SUMIF(Game_Data[Player],$A17,Game_Data[PA])</f>
        <v>72</v>
      </c>
      <c r="D17" s="6">
        <f>SUMIF(Game_Data[Player],$A17,Game_Data[H])</f>
        <v>21</v>
      </c>
      <c r="E17" s="7">
        <f>SUMIF(Game_Data[Player],$A17,Game_Data[BB])</f>
        <v>5</v>
      </c>
      <c r="F17" s="10">
        <f t="shared" si="1"/>
        <v>0.3611111111</v>
      </c>
    </row>
    <row r="18" ht="22.5" customHeight="1">
      <c r="A18" s="13" t="s">
        <v>41</v>
      </c>
      <c r="B18" s="14">
        <f>MAX(Game_Data[Game #])</f>
        <v>38</v>
      </c>
      <c r="C18" s="15">
        <f>SUBTOTAL(9, OBP[PA])</f>
        <v>1615</v>
      </c>
      <c r="D18" s="15">
        <f>SUBTOTAL(9, OBP[H])</f>
        <v>854</v>
      </c>
      <c r="E18" s="15">
        <f>SUBTOTAL(9, OBP[BB])</f>
        <v>77</v>
      </c>
      <c r="F18" s="10">
        <f>IFERROR((OBP[[#TOTALS],[H]]+OBP[[#TOTALS],[BB]])/OBP[[#TOTALS],[PA]],0)</f>
        <v>0.5764705882</v>
      </c>
    </row>
    <row r="19">
      <c r="F19" s="18"/>
    </row>
    <row r="20">
      <c r="F20" s="18"/>
    </row>
    <row r="21">
      <c r="F21" s="18"/>
    </row>
    <row r="22">
      <c r="F22" s="18"/>
    </row>
    <row r="23">
      <c r="F23" s="18"/>
    </row>
    <row r="24">
      <c r="F24" s="18"/>
    </row>
    <row r="25">
      <c r="F25" s="18"/>
    </row>
    <row r="26">
      <c r="F26" s="18"/>
    </row>
    <row r="27">
      <c r="F27" s="18"/>
    </row>
    <row r="28">
      <c r="F28" s="18"/>
    </row>
    <row r="29">
      <c r="F29" s="18"/>
    </row>
    <row r="30">
      <c r="F30" s="18"/>
    </row>
    <row r="31">
      <c r="F31" s="18"/>
    </row>
    <row r="32">
      <c r="F32" s="18"/>
    </row>
    <row r="33">
      <c r="F33" s="18"/>
    </row>
    <row r="34">
      <c r="F34" s="18"/>
    </row>
    <row r="35">
      <c r="F35" s="18"/>
    </row>
    <row r="36">
      <c r="F36" s="18"/>
    </row>
    <row r="37">
      <c r="F37" s="18"/>
    </row>
    <row r="38">
      <c r="F38" s="18"/>
    </row>
    <row r="39">
      <c r="F39" s="18"/>
    </row>
    <row r="40">
      <c r="F40" s="18"/>
    </row>
    <row r="41">
      <c r="F41" s="18"/>
    </row>
    <row r="42">
      <c r="F42" s="18"/>
    </row>
    <row r="43">
      <c r="F43" s="18"/>
    </row>
    <row r="44">
      <c r="F44" s="18"/>
    </row>
    <row r="45">
      <c r="F45" s="18"/>
    </row>
    <row r="46">
      <c r="F46" s="18"/>
    </row>
    <row r="47">
      <c r="F47" s="18"/>
    </row>
    <row r="48">
      <c r="F48" s="18"/>
    </row>
    <row r="49">
      <c r="F49" s="18"/>
    </row>
    <row r="50">
      <c r="F50" s="18"/>
    </row>
    <row r="51">
      <c r="F51" s="18"/>
    </row>
    <row r="52">
      <c r="F52" s="18"/>
    </row>
    <row r="53">
      <c r="F53" s="18"/>
    </row>
    <row r="54">
      <c r="F54" s="18"/>
    </row>
    <row r="55">
      <c r="F55" s="18"/>
    </row>
    <row r="56">
      <c r="F56" s="18"/>
    </row>
    <row r="57">
      <c r="F57" s="18"/>
    </row>
    <row r="58">
      <c r="F58" s="18"/>
    </row>
    <row r="59">
      <c r="F59" s="18"/>
    </row>
    <row r="60">
      <c r="F60" s="18"/>
    </row>
    <row r="61">
      <c r="F61" s="18"/>
    </row>
    <row r="62">
      <c r="F62" s="18"/>
    </row>
    <row r="63">
      <c r="F63" s="18"/>
    </row>
    <row r="64">
      <c r="F64" s="18"/>
    </row>
    <row r="65">
      <c r="F65" s="18"/>
    </row>
    <row r="66">
      <c r="F66" s="18"/>
    </row>
    <row r="67">
      <c r="F67" s="18"/>
    </row>
    <row r="68">
      <c r="F68" s="18"/>
    </row>
    <row r="69">
      <c r="F69" s="18"/>
    </row>
    <row r="70">
      <c r="F70" s="18"/>
    </row>
    <row r="71">
      <c r="F71" s="18"/>
    </row>
    <row r="72">
      <c r="F72" s="18"/>
    </row>
    <row r="73">
      <c r="F73" s="18"/>
    </row>
    <row r="74">
      <c r="F74" s="18"/>
    </row>
    <row r="75">
      <c r="F75" s="18"/>
    </row>
    <row r="76">
      <c r="F76" s="18"/>
    </row>
    <row r="77">
      <c r="F77" s="18"/>
    </row>
    <row r="78">
      <c r="F78" s="18"/>
    </row>
    <row r="79">
      <c r="F79" s="18"/>
    </row>
    <row r="80">
      <c r="F80" s="18"/>
    </row>
    <row r="81">
      <c r="F81" s="18"/>
    </row>
    <row r="82">
      <c r="F82" s="18"/>
    </row>
    <row r="83">
      <c r="F83" s="18"/>
    </row>
    <row r="84">
      <c r="F84" s="18"/>
    </row>
    <row r="85">
      <c r="F85" s="18"/>
    </row>
    <row r="86">
      <c r="F86" s="18"/>
    </row>
    <row r="87">
      <c r="F87" s="18"/>
    </row>
    <row r="88">
      <c r="F88" s="18"/>
    </row>
    <row r="89">
      <c r="F89" s="18"/>
    </row>
    <row r="90">
      <c r="F90" s="18"/>
    </row>
    <row r="91">
      <c r="F91" s="18"/>
    </row>
    <row r="92">
      <c r="F92" s="18"/>
    </row>
    <row r="93">
      <c r="F93" s="18"/>
    </row>
    <row r="94">
      <c r="F94" s="18"/>
    </row>
    <row r="95">
      <c r="F95" s="18"/>
    </row>
    <row r="96">
      <c r="F96" s="18"/>
    </row>
    <row r="97">
      <c r="F97" s="18"/>
    </row>
    <row r="98">
      <c r="F98" s="18"/>
    </row>
    <row r="99">
      <c r="F99" s="18"/>
    </row>
    <row r="100">
      <c r="F100" s="18"/>
    </row>
    <row r="101">
      <c r="F101" s="18"/>
    </row>
    <row r="102">
      <c r="F102" s="18"/>
    </row>
    <row r="103">
      <c r="F103" s="18"/>
    </row>
    <row r="104">
      <c r="F104" s="18"/>
    </row>
    <row r="105">
      <c r="F105" s="18"/>
    </row>
    <row r="106">
      <c r="F106" s="18"/>
    </row>
    <row r="107">
      <c r="F107" s="18"/>
    </row>
    <row r="108">
      <c r="F108" s="18"/>
    </row>
    <row r="109">
      <c r="F109" s="18"/>
    </row>
    <row r="110">
      <c r="F110" s="18"/>
    </row>
    <row r="111">
      <c r="F111" s="18"/>
    </row>
    <row r="112">
      <c r="F112" s="18"/>
    </row>
    <row r="113">
      <c r="F113" s="18"/>
    </row>
    <row r="114">
      <c r="F114" s="18"/>
    </row>
    <row r="115">
      <c r="F115" s="18"/>
    </row>
    <row r="116">
      <c r="F116" s="18"/>
    </row>
    <row r="117">
      <c r="F117" s="18"/>
    </row>
    <row r="118">
      <c r="F118" s="18"/>
    </row>
    <row r="119">
      <c r="F119" s="18"/>
    </row>
    <row r="120">
      <c r="F120" s="18"/>
    </row>
    <row r="121">
      <c r="F121" s="18"/>
    </row>
    <row r="122">
      <c r="F122" s="18"/>
    </row>
    <row r="123">
      <c r="F123" s="18"/>
    </row>
    <row r="124">
      <c r="F124" s="18"/>
    </row>
    <row r="125">
      <c r="F125" s="18"/>
    </row>
    <row r="126">
      <c r="F126" s="18"/>
    </row>
    <row r="127">
      <c r="F127" s="18"/>
    </row>
    <row r="128">
      <c r="F128" s="18"/>
    </row>
    <row r="129">
      <c r="F129" s="18"/>
    </row>
    <row r="130">
      <c r="F130" s="18"/>
    </row>
    <row r="131">
      <c r="F131" s="18"/>
    </row>
    <row r="132">
      <c r="F132" s="18"/>
    </row>
    <row r="133">
      <c r="F133" s="18"/>
    </row>
    <row r="134">
      <c r="F134" s="18"/>
    </row>
    <row r="135">
      <c r="F135" s="18"/>
    </row>
    <row r="136">
      <c r="F136" s="18"/>
    </row>
    <row r="137">
      <c r="F137" s="18"/>
    </row>
    <row r="138">
      <c r="F138" s="18"/>
    </row>
    <row r="139">
      <c r="F139" s="18"/>
    </row>
    <row r="140">
      <c r="F140" s="18"/>
    </row>
    <row r="141">
      <c r="F141" s="18"/>
    </row>
    <row r="142">
      <c r="F142" s="18"/>
    </row>
    <row r="143">
      <c r="F143" s="18"/>
    </row>
    <row r="144">
      <c r="F144" s="18"/>
    </row>
    <row r="145">
      <c r="F145" s="18"/>
    </row>
    <row r="146">
      <c r="F146" s="18"/>
    </row>
    <row r="147">
      <c r="F147" s="18"/>
    </row>
    <row r="148">
      <c r="F148" s="18"/>
    </row>
    <row r="149">
      <c r="F149" s="18"/>
    </row>
    <row r="150">
      <c r="F150" s="18"/>
    </row>
    <row r="151">
      <c r="F151" s="18"/>
    </row>
    <row r="152">
      <c r="F152" s="18"/>
    </row>
    <row r="153">
      <c r="F153" s="18"/>
    </row>
    <row r="154">
      <c r="F154" s="18"/>
    </row>
    <row r="155">
      <c r="F155" s="18"/>
    </row>
    <row r="156">
      <c r="F156" s="18"/>
    </row>
    <row r="157">
      <c r="F157" s="18"/>
    </row>
    <row r="158">
      <c r="F158" s="18"/>
    </row>
    <row r="159">
      <c r="F159" s="18"/>
    </row>
    <row r="160">
      <c r="F160" s="18"/>
    </row>
    <row r="161">
      <c r="F161" s="18"/>
    </row>
    <row r="162">
      <c r="F162" s="18"/>
    </row>
    <row r="163">
      <c r="F163" s="18"/>
    </row>
    <row r="164">
      <c r="F164" s="18"/>
    </row>
    <row r="165">
      <c r="F165" s="18"/>
    </row>
    <row r="166">
      <c r="F166" s="18"/>
    </row>
    <row r="167">
      <c r="F167" s="18"/>
    </row>
    <row r="168">
      <c r="F168" s="18"/>
    </row>
    <row r="169">
      <c r="F169" s="18"/>
    </row>
    <row r="170">
      <c r="F170" s="18"/>
    </row>
    <row r="171">
      <c r="F171" s="18"/>
    </row>
    <row r="172">
      <c r="F172" s="18"/>
    </row>
    <row r="173">
      <c r="F173" s="18"/>
    </row>
    <row r="174">
      <c r="F174" s="18"/>
    </row>
    <row r="175">
      <c r="F175" s="18"/>
    </row>
    <row r="176">
      <c r="F176" s="18"/>
    </row>
    <row r="177">
      <c r="F177" s="18"/>
    </row>
    <row r="178">
      <c r="F178" s="18"/>
    </row>
    <row r="179">
      <c r="F179" s="18"/>
    </row>
    <row r="180">
      <c r="F180" s="18"/>
    </row>
    <row r="181">
      <c r="F181" s="18"/>
    </row>
    <row r="182">
      <c r="F182" s="18"/>
    </row>
    <row r="183">
      <c r="F183" s="18"/>
    </row>
    <row r="184">
      <c r="F184" s="18"/>
    </row>
    <row r="185">
      <c r="F185" s="18"/>
    </row>
    <row r="186">
      <c r="F186" s="18"/>
    </row>
    <row r="187">
      <c r="F187" s="18"/>
    </row>
    <row r="188">
      <c r="F188" s="18"/>
    </row>
    <row r="189">
      <c r="F189" s="18"/>
    </row>
    <row r="190">
      <c r="F190" s="18"/>
    </row>
    <row r="191">
      <c r="F191" s="18"/>
    </row>
    <row r="192">
      <c r="F192" s="18"/>
    </row>
    <row r="193">
      <c r="F193" s="18"/>
    </row>
    <row r="194">
      <c r="F194" s="18"/>
    </row>
    <row r="195">
      <c r="F195" s="18"/>
    </row>
    <row r="196">
      <c r="F196" s="18"/>
    </row>
    <row r="197">
      <c r="F197" s="18"/>
    </row>
    <row r="198">
      <c r="F198" s="18"/>
    </row>
    <row r="199">
      <c r="F199" s="18"/>
    </row>
    <row r="200">
      <c r="F200" s="18"/>
    </row>
    <row r="201">
      <c r="F201" s="18"/>
    </row>
    <row r="202">
      <c r="F202" s="18"/>
    </row>
    <row r="203">
      <c r="F203" s="18"/>
    </row>
    <row r="204">
      <c r="F204" s="18"/>
    </row>
    <row r="205">
      <c r="F205" s="18"/>
    </row>
    <row r="206">
      <c r="F206" s="18"/>
    </row>
    <row r="207">
      <c r="F207" s="18"/>
    </row>
    <row r="208">
      <c r="F208" s="18"/>
    </row>
    <row r="209">
      <c r="F209" s="18"/>
    </row>
    <row r="210">
      <c r="F210" s="18"/>
    </row>
    <row r="211">
      <c r="F211" s="18"/>
    </row>
    <row r="212">
      <c r="F212" s="18"/>
    </row>
    <row r="213">
      <c r="F213" s="18"/>
    </row>
    <row r="214">
      <c r="F214" s="18"/>
    </row>
    <row r="215">
      <c r="F215" s="18"/>
    </row>
    <row r="216">
      <c r="F216" s="18"/>
    </row>
    <row r="217">
      <c r="F217" s="18"/>
    </row>
    <row r="218">
      <c r="F218" s="18"/>
    </row>
    <row r="219">
      <c r="F219" s="18"/>
    </row>
    <row r="220">
      <c r="F220" s="18"/>
    </row>
    <row r="221">
      <c r="F221" s="18"/>
    </row>
    <row r="222">
      <c r="F222" s="18"/>
    </row>
    <row r="223">
      <c r="F223" s="18"/>
    </row>
    <row r="224">
      <c r="F224" s="18"/>
    </row>
    <row r="225">
      <c r="F225" s="18"/>
    </row>
    <row r="226">
      <c r="F226" s="18"/>
    </row>
    <row r="227">
      <c r="F227" s="18"/>
    </row>
    <row r="228">
      <c r="F228" s="18"/>
    </row>
    <row r="229">
      <c r="F229" s="18"/>
    </row>
    <row r="230">
      <c r="F230" s="18"/>
    </row>
    <row r="231">
      <c r="F231" s="18"/>
    </row>
    <row r="232">
      <c r="F232" s="18"/>
    </row>
    <row r="233">
      <c r="F233" s="18"/>
    </row>
    <row r="234">
      <c r="F234" s="18"/>
    </row>
    <row r="235">
      <c r="F235" s="18"/>
    </row>
    <row r="236">
      <c r="F236" s="18"/>
    </row>
    <row r="237">
      <c r="F237" s="18"/>
    </row>
    <row r="238">
      <c r="F238" s="18"/>
    </row>
    <row r="239">
      <c r="F239" s="18"/>
    </row>
    <row r="240">
      <c r="F240" s="18"/>
    </row>
    <row r="241">
      <c r="F241" s="18"/>
    </row>
    <row r="242">
      <c r="F242" s="18"/>
    </row>
    <row r="243">
      <c r="F243" s="18"/>
    </row>
    <row r="244">
      <c r="F244" s="18"/>
    </row>
    <row r="245">
      <c r="F245" s="18"/>
    </row>
    <row r="246">
      <c r="F246" s="18"/>
    </row>
    <row r="247">
      <c r="F247" s="18"/>
    </row>
    <row r="248">
      <c r="F248" s="18"/>
    </row>
    <row r="249">
      <c r="F249" s="18"/>
    </row>
    <row r="250">
      <c r="F250" s="18"/>
    </row>
    <row r="251">
      <c r="F251" s="18"/>
    </row>
    <row r="252">
      <c r="F252" s="18"/>
    </row>
    <row r="253">
      <c r="F253" s="18"/>
    </row>
    <row r="254">
      <c r="F254" s="18"/>
    </row>
    <row r="255">
      <c r="F255" s="18"/>
    </row>
    <row r="256">
      <c r="F256" s="18"/>
    </row>
    <row r="257">
      <c r="F257" s="18"/>
    </row>
    <row r="258">
      <c r="F258" s="18"/>
    </row>
    <row r="259">
      <c r="F259" s="18"/>
    </row>
    <row r="260">
      <c r="F260" s="18"/>
    </row>
    <row r="261">
      <c r="F261" s="18"/>
    </row>
    <row r="262">
      <c r="F262" s="18"/>
    </row>
    <row r="263">
      <c r="F263" s="18"/>
    </row>
    <row r="264">
      <c r="F264" s="18"/>
    </row>
    <row r="265">
      <c r="F265" s="18"/>
    </row>
    <row r="266">
      <c r="F266" s="18"/>
    </row>
    <row r="267">
      <c r="F267" s="18"/>
    </row>
    <row r="268">
      <c r="F268" s="18"/>
    </row>
    <row r="269">
      <c r="F269" s="18"/>
    </row>
    <row r="270">
      <c r="F270" s="18"/>
    </row>
    <row r="271">
      <c r="F271" s="18"/>
    </row>
    <row r="272">
      <c r="F272" s="18"/>
    </row>
    <row r="273">
      <c r="F273" s="18"/>
    </row>
    <row r="274">
      <c r="F274" s="18"/>
    </row>
    <row r="275">
      <c r="F275" s="18"/>
    </row>
    <row r="276">
      <c r="F276" s="18"/>
    </row>
    <row r="277">
      <c r="F277" s="18"/>
    </row>
    <row r="278">
      <c r="F278" s="18"/>
    </row>
    <row r="279">
      <c r="F279" s="18"/>
    </row>
    <row r="280">
      <c r="F280" s="18"/>
    </row>
    <row r="281">
      <c r="F281" s="18"/>
    </row>
    <row r="282">
      <c r="F282" s="18"/>
    </row>
    <row r="283">
      <c r="F283" s="18"/>
    </row>
    <row r="284">
      <c r="F284" s="18"/>
    </row>
    <row r="285">
      <c r="F285" s="18"/>
    </row>
    <row r="286">
      <c r="F286" s="18"/>
    </row>
    <row r="287">
      <c r="F287" s="18"/>
    </row>
    <row r="288">
      <c r="F288" s="18"/>
    </row>
    <row r="289">
      <c r="F289" s="18"/>
    </row>
    <row r="290">
      <c r="F290" s="18"/>
    </row>
    <row r="291">
      <c r="F291" s="18"/>
    </row>
    <row r="292">
      <c r="F292" s="18"/>
    </row>
    <row r="293">
      <c r="F293" s="18"/>
    </row>
    <row r="294">
      <c r="F294" s="18"/>
    </row>
    <row r="295">
      <c r="F295" s="18"/>
    </row>
    <row r="296">
      <c r="F296" s="18"/>
    </row>
    <row r="297">
      <c r="F297" s="18"/>
    </row>
    <row r="298">
      <c r="F298" s="18"/>
    </row>
    <row r="299">
      <c r="F299" s="18"/>
    </row>
    <row r="300">
      <c r="F300" s="18"/>
    </row>
    <row r="301">
      <c r="F301" s="18"/>
    </row>
    <row r="302">
      <c r="F302" s="18"/>
    </row>
    <row r="303">
      <c r="F303" s="18"/>
    </row>
    <row r="304">
      <c r="F304" s="18"/>
    </row>
    <row r="305">
      <c r="F305" s="18"/>
    </row>
    <row r="306">
      <c r="F306" s="18"/>
    </row>
    <row r="307">
      <c r="F307" s="18"/>
    </row>
    <row r="308">
      <c r="F308" s="18"/>
    </row>
    <row r="309">
      <c r="F309" s="18"/>
    </row>
    <row r="310">
      <c r="F310" s="18"/>
    </row>
    <row r="311">
      <c r="F311" s="18"/>
    </row>
    <row r="312">
      <c r="F312" s="18"/>
    </row>
    <row r="313">
      <c r="F313" s="18"/>
    </row>
    <row r="314">
      <c r="F314" s="18"/>
    </row>
    <row r="315">
      <c r="F315" s="18"/>
    </row>
    <row r="316">
      <c r="F316" s="18"/>
    </row>
    <row r="317">
      <c r="F317" s="18"/>
    </row>
    <row r="318">
      <c r="F318" s="18"/>
    </row>
    <row r="319">
      <c r="F319" s="18"/>
    </row>
    <row r="320">
      <c r="F320" s="18"/>
    </row>
    <row r="321">
      <c r="F321" s="18"/>
    </row>
    <row r="322">
      <c r="F322" s="18"/>
    </row>
    <row r="323">
      <c r="F323" s="18"/>
    </row>
    <row r="324">
      <c r="F324" s="18"/>
    </row>
    <row r="325">
      <c r="F325" s="18"/>
    </row>
    <row r="326">
      <c r="F326" s="18"/>
    </row>
    <row r="327">
      <c r="F327" s="18"/>
    </row>
    <row r="328">
      <c r="F328" s="18"/>
    </row>
    <row r="329">
      <c r="F329" s="18"/>
    </row>
    <row r="330">
      <c r="F330" s="18"/>
    </row>
    <row r="331">
      <c r="F331" s="18"/>
    </row>
    <row r="332">
      <c r="F332" s="18"/>
    </row>
    <row r="333">
      <c r="F333" s="18"/>
    </row>
    <row r="334">
      <c r="F334" s="18"/>
    </row>
    <row r="335">
      <c r="F335" s="18"/>
    </row>
    <row r="336">
      <c r="F336" s="18"/>
    </row>
    <row r="337">
      <c r="F337" s="18"/>
    </row>
    <row r="338">
      <c r="F338" s="18"/>
    </row>
    <row r="339">
      <c r="F339" s="18"/>
    </row>
    <row r="340">
      <c r="F340" s="18"/>
    </row>
    <row r="341">
      <c r="F341" s="18"/>
    </row>
    <row r="342">
      <c r="F342" s="18"/>
    </row>
    <row r="343">
      <c r="F343" s="18"/>
    </row>
    <row r="344">
      <c r="F344" s="18"/>
    </row>
    <row r="345">
      <c r="F345" s="18"/>
    </row>
    <row r="346">
      <c r="F346" s="18"/>
    </row>
    <row r="347">
      <c r="F347" s="18"/>
    </row>
    <row r="348">
      <c r="F348" s="18"/>
    </row>
    <row r="349">
      <c r="F349" s="18"/>
    </row>
    <row r="350">
      <c r="F350" s="18"/>
    </row>
    <row r="351">
      <c r="F351" s="18"/>
    </row>
    <row r="352">
      <c r="F352" s="18"/>
    </row>
    <row r="353">
      <c r="F353" s="18"/>
    </row>
    <row r="354">
      <c r="F354" s="18"/>
    </row>
    <row r="355">
      <c r="F355" s="18"/>
    </row>
    <row r="356">
      <c r="F356" s="18"/>
    </row>
    <row r="357">
      <c r="F357" s="18"/>
    </row>
    <row r="358">
      <c r="F358" s="18"/>
    </row>
    <row r="359">
      <c r="F359" s="18"/>
    </row>
    <row r="360">
      <c r="F360" s="18"/>
    </row>
    <row r="361">
      <c r="F361" s="18"/>
    </row>
    <row r="362">
      <c r="F362" s="18"/>
    </row>
    <row r="363">
      <c r="F363" s="18"/>
    </row>
    <row r="364">
      <c r="F364" s="18"/>
    </row>
    <row r="365">
      <c r="F365" s="18"/>
    </row>
    <row r="366">
      <c r="F366" s="18"/>
    </row>
    <row r="367">
      <c r="F367" s="18"/>
    </row>
    <row r="368">
      <c r="F368" s="18"/>
    </row>
    <row r="369">
      <c r="F369" s="18"/>
    </row>
    <row r="370">
      <c r="F370" s="18"/>
    </row>
    <row r="371">
      <c r="F371" s="18"/>
    </row>
    <row r="372">
      <c r="F372" s="18"/>
    </row>
    <row r="373">
      <c r="F373" s="18"/>
    </row>
    <row r="374">
      <c r="F374" s="18"/>
    </row>
    <row r="375">
      <c r="F375" s="18"/>
    </row>
    <row r="376">
      <c r="F376" s="18"/>
    </row>
    <row r="377">
      <c r="F377" s="18"/>
    </row>
    <row r="378">
      <c r="F378" s="18"/>
    </row>
    <row r="379">
      <c r="F379" s="18"/>
    </row>
    <row r="380">
      <c r="F380" s="18"/>
    </row>
    <row r="381">
      <c r="F381" s="18"/>
    </row>
    <row r="382">
      <c r="F382" s="18"/>
    </row>
    <row r="383">
      <c r="F383" s="18"/>
    </row>
    <row r="384">
      <c r="F384" s="18"/>
    </row>
    <row r="385">
      <c r="F385" s="18"/>
    </row>
    <row r="386">
      <c r="F386" s="18"/>
    </row>
    <row r="387">
      <c r="F387" s="18"/>
    </row>
    <row r="388">
      <c r="F388" s="18"/>
    </row>
    <row r="389">
      <c r="F389" s="18"/>
    </row>
    <row r="390">
      <c r="F390" s="18"/>
    </row>
    <row r="391">
      <c r="F391" s="18"/>
    </row>
    <row r="392">
      <c r="F392" s="18"/>
    </row>
    <row r="393">
      <c r="F393" s="18"/>
    </row>
    <row r="394">
      <c r="F394" s="18"/>
    </row>
    <row r="395">
      <c r="F395" s="18"/>
    </row>
    <row r="396">
      <c r="F396" s="18"/>
    </row>
    <row r="397">
      <c r="F397" s="18"/>
    </row>
    <row r="398">
      <c r="F398" s="18"/>
    </row>
    <row r="399">
      <c r="F399" s="18"/>
    </row>
    <row r="400">
      <c r="F400" s="18"/>
    </row>
    <row r="401">
      <c r="F401" s="18"/>
    </row>
    <row r="402">
      <c r="F402" s="18"/>
    </row>
    <row r="403">
      <c r="F403" s="18"/>
    </row>
    <row r="404">
      <c r="F404" s="18"/>
    </row>
    <row r="405">
      <c r="F405" s="18"/>
    </row>
    <row r="406">
      <c r="F406" s="18"/>
    </row>
    <row r="407">
      <c r="F407" s="18"/>
    </row>
    <row r="408">
      <c r="F408" s="18"/>
    </row>
    <row r="409">
      <c r="F409" s="18"/>
    </row>
    <row r="410">
      <c r="F410" s="18"/>
    </row>
    <row r="411">
      <c r="F411" s="18"/>
    </row>
    <row r="412">
      <c r="F412" s="18"/>
    </row>
    <row r="413">
      <c r="F413" s="18"/>
    </row>
    <row r="414">
      <c r="F414" s="18"/>
    </row>
    <row r="415">
      <c r="F415" s="18"/>
    </row>
    <row r="416">
      <c r="F416" s="18"/>
    </row>
    <row r="417">
      <c r="F417" s="18"/>
    </row>
    <row r="418">
      <c r="F418" s="18"/>
    </row>
    <row r="419">
      <c r="F419" s="18"/>
    </row>
    <row r="420">
      <c r="F420" s="18"/>
    </row>
    <row r="421">
      <c r="F421" s="18"/>
    </row>
    <row r="422">
      <c r="F422" s="18"/>
    </row>
    <row r="423">
      <c r="F423" s="18"/>
    </row>
    <row r="424">
      <c r="F424" s="18"/>
    </row>
    <row r="425">
      <c r="F425" s="18"/>
    </row>
    <row r="426">
      <c r="F426" s="18"/>
    </row>
    <row r="427">
      <c r="F427" s="18"/>
    </row>
    <row r="428">
      <c r="F428" s="18"/>
    </row>
    <row r="429">
      <c r="F429" s="18"/>
    </row>
    <row r="430">
      <c r="F430" s="18"/>
    </row>
    <row r="431">
      <c r="F431" s="18"/>
    </row>
    <row r="432">
      <c r="F432" s="18"/>
    </row>
    <row r="433">
      <c r="F433" s="18"/>
    </row>
    <row r="434">
      <c r="F434" s="18"/>
    </row>
    <row r="435">
      <c r="F435" s="18"/>
    </row>
    <row r="436">
      <c r="F436" s="18"/>
    </row>
    <row r="437">
      <c r="F437" s="18"/>
    </row>
    <row r="438">
      <c r="F438" s="18"/>
    </row>
    <row r="439">
      <c r="F439" s="18"/>
    </row>
    <row r="440">
      <c r="F440" s="18"/>
    </row>
    <row r="441">
      <c r="F441" s="18"/>
    </row>
    <row r="442">
      <c r="F442" s="18"/>
    </row>
    <row r="443">
      <c r="F443" s="18"/>
    </row>
    <row r="444">
      <c r="F444" s="18"/>
    </row>
    <row r="445">
      <c r="F445" s="18"/>
    </row>
    <row r="446">
      <c r="F446" s="18"/>
    </row>
    <row r="447">
      <c r="F447" s="18"/>
    </row>
    <row r="448">
      <c r="F448" s="18"/>
    </row>
    <row r="449">
      <c r="F449" s="18"/>
    </row>
    <row r="450">
      <c r="F450" s="18"/>
    </row>
    <row r="451">
      <c r="F451" s="18"/>
    </row>
    <row r="452">
      <c r="F452" s="18"/>
    </row>
    <row r="453">
      <c r="F453" s="18"/>
    </row>
    <row r="454">
      <c r="F454" s="18"/>
    </row>
    <row r="455">
      <c r="F455" s="18"/>
    </row>
    <row r="456">
      <c r="F456" s="18"/>
    </row>
    <row r="457">
      <c r="F457" s="18"/>
    </row>
    <row r="458">
      <c r="F458" s="18"/>
    </row>
    <row r="459">
      <c r="F459" s="18"/>
    </row>
    <row r="460">
      <c r="F460" s="18"/>
    </row>
    <row r="461">
      <c r="F461" s="18"/>
    </row>
    <row r="462">
      <c r="F462" s="18"/>
    </row>
    <row r="463">
      <c r="F463" s="18"/>
    </row>
    <row r="464">
      <c r="F464" s="18"/>
    </row>
    <row r="465">
      <c r="F465" s="18"/>
    </row>
    <row r="466">
      <c r="F466" s="18"/>
    </row>
    <row r="467">
      <c r="F467" s="18"/>
    </row>
    <row r="468">
      <c r="F468" s="18"/>
    </row>
    <row r="469">
      <c r="F469" s="18"/>
    </row>
    <row r="470">
      <c r="F470" s="18"/>
    </row>
    <row r="471">
      <c r="F471" s="18"/>
    </row>
    <row r="472">
      <c r="F472" s="18"/>
    </row>
    <row r="473">
      <c r="F473" s="18"/>
    </row>
    <row r="474">
      <c r="F474" s="18"/>
    </row>
    <row r="475">
      <c r="F475" s="18"/>
    </row>
    <row r="476">
      <c r="F476" s="18"/>
    </row>
    <row r="477">
      <c r="F477" s="18"/>
    </row>
    <row r="478">
      <c r="F478" s="18"/>
    </row>
    <row r="479">
      <c r="F479" s="18"/>
    </row>
    <row r="480">
      <c r="F480" s="18"/>
    </row>
    <row r="481">
      <c r="F481" s="18"/>
    </row>
    <row r="482">
      <c r="F482" s="18"/>
    </row>
    <row r="483">
      <c r="F483" s="18"/>
    </row>
    <row r="484">
      <c r="F484" s="18"/>
    </row>
    <row r="485">
      <c r="F485" s="18"/>
    </row>
    <row r="486">
      <c r="F486" s="18"/>
    </row>
    <row r="487">
      <c r="F487" s="18"/>
    </row>
    <row r="488">
      <c r="F488" s="18"/>
    </row>
    <row r="489">
      <c r="F489" s="18"/>
    </row>
    <row r="490">
      <c r="F490" s="18"/>
    </row>
    <row r="491">
      <c r="F491" s="18"/>
    </row>
    <row r="492">
      <c r="F492" s="18"/>
    </row>
    <row r="493">
      <c r="F493" s="18"/>
    </row>
    <row r="494">
      <c r="F494" s="18"/>
    </row>
    <row r="495">
      <c r="F495" s="18"/>
    </row>
    <row r="496">
      <c r="F496" s="18"/>
    </row>
    <row r="497">
      <c r="F497" s="18"/>
    </row>
    <row r="498">
      <c r="F498" s="18"/>
    </row>
    <row r="499">
      <c r="F499" s="18"/>
    </row>
    <row r="500">
      <c r="F500" s="18"/>
    </row>
    <row r="501">
      <c r="F501" s="18"/>
    </row>
    <row r="502">
      <c r="F502" s="18"/>
    </row>
    <row r="503">
      <c r="F503" s="18"/>
    </row>
    <row r="504">
      <c r="F504" s="18"/>
    </row>
    <row r="505">
      <c r="F505" s="18"/>
    </row>
    <row r="506">
      <c r="F506" s="18"/>
    </row>
    <row r="507">
      <c r="F507" s="18"/>
    </row>
    <row r="508">
      <c r="F508" s="18"/>
    </row>
    <row r="509">
      <c r="F509" s="18"/>
    </row>
    <row r="510">
      <c r="F510" s="18"/>
    </row>
    <row r="511">
      <c r="F511" s="18"/>
    </row>
    <row r="512">
      <c r="F512" s="18"/>
    </row>
    <row r="513">
      <c r="F513" s="18"/>
    </row>
    <row r="514">
      <c r="F514" s="18"/>
    </row>
    <row r="515">
      <c r="F515" s="18"/>
    </row>
    <row r="516">
      <c r="F516" s="18"/>
    </row>
    <row r="517">
      <c r="F517" s="18"/>
    </row>
    <row r="518">
      <c r="F518" s="18"/>
    </row>
    <row r="519">
      <c r="F519" s="18"/>
    </row>
    <row r="520">
      <c r="F520" s="18"/>
    </row>
    <row r="521">
      <c r="F521" s="18"/>
    </row>
    <row r="522">
      <c r="F522" s="18"/>
    </row>
    <row r="523">
      <c r="F523" s="18"/>
    </row>
    <row r="524">
      <c r="F524" s="18"/>
    </row>
    <row r="525">
      <c r="F525" s="18"/>
    </row>
    <row r="526">
      <c r="F526" s="18"/>
    </row>
    <row r="527">
      <c r="F527" s="18"/>
    </row>
    <row r="528">
      <c r="F528" s="18"/>
    </row>
    <row r="529">
      <c r="F529" s="18"/>
    </row>
    <row r="530">
      <c r="F530" s="18"/>
    </row>
    <row r="531">
      <c r="F531" s="18"/>
    </row>
    <row r="532">
      <c r="F532" s="18"/>
    </row>
    <row r="533">
      <c r="F533" s="18"/>
    </row>
    <row r="534">
      <c r="F534" s="18"/>
    </row>
    <row r="535">
      <c r="F535" s="18"/>
    </row>
    <row r="536">
      <c r="F536" s="18"/>
    </row>
    <row r="537">
      <c r="F537" s="18"/>
    </row>
    <row r="538">
      <c r="F538" s="18"/>
    </row>
    <row r="539">
      <c r="F539" s="18"/>
    </row>
    <row r="540">
      <c r="F540" s="18"/>
    </row>
    <row r="541">
      <c r="F541" s="18"/>
    </row>
    <row r="542">
      <c r="F542" s="18"/>
    </row>
    <row r="543">
      <c r="F543" s="18"/>
    </row>
    <row r="544">
      <c r="F544" s="18"/>
    </row>
    <row r="545">
      <c r="F545" s="18"/>
    </row>
    <row r="546">
      <c r="F546" s="18"/>
    </row>
    <row r="547">
      <c r="F547" s="18"/>
    </row>
    <row r="548">
      <c r="F548" s="18"/>
    </row>
    <row r="549">
      <c r="F549" s="18"/>
    </row>
    <row r="550">
      <c r="F550" s="18"/>
    </row>
    <row r="551">
      <c r="F551" s="18"/>
    </row>
    <row r="552">
      <c r="F552" s="18"/>
    </row>
    <row r="553">
      <c r="F553" s="18"/>
    </row>
    <row r="554">
      <c r="F554" s="18"/>
    </row>
    <row r="555">
      <c r="F555" s="18"/>
    </row>
    <row r="556">
      <c r="F556" s="18"/>
    </row>
    <row r="557">
      <c r="F557" s="18"/>
    </row>
    <row r="558">
      <c r="F558" s="18"/>
    </row>
    <row r="559">
      <c r="F559" s="18"/>
    </row>
    <row r="560">
      <c r="F560" s="18"/>
    </row>
    <row r="561">
      <c r="F561" s="18"/>
    </row>
    <row r="562">
      <c r="F562" s="18"/>
    </row>
    <row r="563">
      <c r="F563" s="18"/>
    </row>
    <row r="564">
      <c r="F564" s="18"/>
    </row>
    <row r="565">
      <c r="F565" s="18"/>
    </row>
    <row r="566">
      <c r="F566" s="18"/>
    </row>
    <row r="567">
      <c r="F567" s="18"/>
    </row>
    <row r="568">
      <c r="F568" s="18"/>
    </row>
    <row r="569">
      <c r="F569" s="18"/>
    </row>
    <row r="570">
      <c r="F570" s="18"/>
    </row>
    <row r="571">
      <c r="F571" s="18"/>
    </row>
    <row r="572">
      <c r="F572" s="18"/>
    </row>
    <row r="573">
      <c r="F573" s="18"/>
    </row>
    <row r="574">
      <c r="F574" s="18"/>
    </row>
    <row r="575">
      <c r="F575" s="18"/>
    </row>
    <row r="576">
      <c r="F576" s="18"/>
    </row>
    <row r="577">
      <c r="F577" s="18"/>
    </row>
    <row r="578">
      <c r="F578" s="18"/>
    </row>
    <row r="579">
      <c r="F579" s="18"/>
    </row>
    <row r="580">
      <c r="F580" s="18"/>
    </row>
    <row r="581">
      <c r="F581" s="18"/>
    </row>
    <row r="582">
      <c r="F582" s="18"/>
    </row>
    <row r="583">
      <c r="F583" s="18"/>
    </row>
    <row r="584">
      <c r="F584" s="18"/>
    </row>
    <row r="585">
      <c r="F585" s="18"/>
    </row>
    <row r="586">
      <c r="F586" s="18"/>
    </row>
    <row r="587">
      <c r="F587" s="18"/>
    </row>
    <row r="588">
      <c r="F588" s="18"/>
    </row>
    <row r="589">
      <c r="F589" s="18"/>
    </row>
    <row r="590">
      <c r="F590" s="18"/>
    </row>
    <row r="591">
      <c r="F591" s="18"/>
    </row>
    <row r="592">
      <c r="F592" s="18"/>
    </row>
    <row r="593">
      <c r="F593" s="18"/>
    </row>
    <row r="594">
      <c r="F594" s="18"/>
    </row>
    <row r="595">
      <c r="F595" s="18"/>
    </row>
    <row r="596">
      <c r="F596" s="18"/>
    </row>
    <row r="597">
      <c r="F597" s="18"/>
    </row>
    <row r="598">
      <c r="F598" s="18"/>
    </row>
    <row r="599">
      <c r="F599" s="18"/>
    </row>
    <row r="600">
      <c r="F600" s="18"/>
    </row>
    <row r="601">
      <c r="F601" s="18"/>
    </row>
    <row r="602">
      <c r="F602" s="18"/>
    </row>
    <row r="603">
      <c r="F603" s="18"/>
    </row>
    <row r="604">
      <c r="F604" s="18"/>
    </row>
    <row r="605">
      <c r="F605" s="18"/>
    </row>
    <row r="606">
      <c r="F606" s="18"/>
    </row>
    <row r="607">
      <c r="F607" s="18"/>
    </row>
    <row r="608">
      <c r="F608" s="18"/>
    </row>
    <row r="609">
      <c r="F609" s="18"/>
    </row>
    <row r="610">
      <c r="F610" s="18"/>
    </row>
    <row r="611">
      <c r="F611" s="18"/>
    </row>
    <row r="612">
      <c r="F612" s="18"/>
    </row>
    <row r="613">
      <c r="F613" s="18"/>
    </row>
    <row r="614">
      <c r="F614" s="18"/>
    </row>
    <row r="615">
      <c r="F615" s="18"/>
    </row>
    <row r="616">
      <c r="F616" s="18"/>
    </row>
    <row r="617">
      <c r="F617" s="18"/>
    </row>
    <row r="618">
      <c r="F618" s="18"/>
    </row>
    <row r="619">
      <c r="F619" s="18"/>
    </row>
    <row r="620">
      <c r="F620" s="18"/>
    </row>
    <row r="621">
      <c r="F621" s="18"/>
    </row>
    <row r="622">
      <c r="F622" s="18"/>
    </row>
    <row r="623">
      <c r="F623" s="18"/>
    </row>
    <row r="624">
      <c r="F624" s="18"/>
    </row>
    <row r="625">
      <c r="F625" s="18"/>
    </row>
    <row r="626">
      <c r="F626" s="18"/>
    </row>
    <row r="627">
      <c r="F627" s="18"/>
    </row>
    <row r="628">
      <c r="F628" s="18"/>
    </row>
    <row r="629">
      <c r="F629" s="18"/>
    </row>
    <row r="630">
      <c r="F630" s="18"/>
    </row>
    <row r="631">
      <c r="F631" s="18"/>
    </row>
    <row r="632">
      <c r="F632" s="18"/>
    </row>
    <row r="633">
      <c r="F633" s="18"/>
    </row>
    <row r="634">
      <c r="F634" s="18"/>
    </row>
    <row r="635">
      <c r="F635" s="18"/>
    </row>
    <row r="636">
      <c r="F636" s="18"/>
    </row>
    <row r="637">
      <c r="F637" s="18"/>
    </row>
    <row r="638">
      <c r="F638" s="18"/>
    </row>
    <row r="639">
      <c r="F639" s="18"/>
    </row>
    <row r="640">
      <c r="F640" s="18"/>
    </row>
    <row r="641">
      <c r="F641" s="18"/>
    </row>
    <row r="642">
      <c r="F642" s="18"/>
    </row>
    <row r="643">
      <c r="F643" s="18"/>
    </row>
    <row r="644">
      <c r="F644" s="18"/>
    </row>
    <row r="645">
      <c r="F645" s="18"/>
    </row>
    <row r="646">
      <c r="F646" s="18"/>
    </row>
    <row r="647">
      <c r="F647" s="18"/>
    </row>
    <row r="648">
      <c r="F648" s="18"/>
    </row>
    <row r="649">
      <c r="F649" s="18"/>
    </row>
    <row r="650">
      <c r="F650" s="18"/>
    </row>
    <row r="651">
      <c r="F651" s="18"/>
    </row>
    <row r="652">
      <c r="F652" s="18"/>
    </row>
    <row r="653">
      <c r="F653" s="18"/>
    </row>
    <row r="654">
      <c r="F654" s="18"/>
    </row>
    <row r="655">
      <c r="F655" s="18"/>
    </row>
    <row r="656">
      <c r="F656" s="18"/>
    </row>
    <row r="657">
      <c r="F657" s="18"/>
    </row>
    <row r="658">
      <c r="F658" s="18"/>
    </row>
    <row r="659">
      <c r="F659" s="18"/>
    </row>
    <row r="660">
      <c r="F660" s="18"/>
    </row>
    <row r="661">
      <c r="F661" s="18"/>
    </row>
    <row r="662">
      <c r="F662" s="18"/>
    </row>
    <row r="663">
      <c r="F663" s="18"/>
    </row>
    <row r="664">
      <c r="F664" s="18"/>
    </row>
    <row r="665">
      <c r="F665" s="18"/>
    </row>
    <row r="666">
      <c r="F666" s="18"/>
    </row>
    <row r="667">
      <c r="F667" s="18"/>
    </row>
    <row r="668">
      <c r="F668" s="18"/>
    </row>
    <row r="669">
      <c r="F669" s="18"/>
    </row>
    <row r="670">
      <c r="F670" s="18"/>
    </row>
    <row r="671">
      <c r="F671" s="18"/>
    </row>
    <row r="672">
      <c r="F672" s="18"/>
    </row>
    <row r="673">
      <c r="F673" s="18"/>
    </row>
    <row r="674">
      <c r="F674" s="18"/>
    </row>
    <row r="675">
      <c r="F675" s="18"/>
    </row>
    <row r="676">
      <c r="F676" s="18"/>
    </row>
    <row r="677">
      <c r="F677" s="18"/>
    </row>
    <row r="678">
      <c r="F678" s="18"/>
    </row>
    <row r="679">
      <c r="F679" s="18"/>
    </row>
    <row r="680">
      <c r="F680" s="18"/>
    </row>
    <row r="681">
      <c r="F681" s="18"/>
    </row>
    <row r="682">
      <c r="F682" s="18"/>
    </row>
    <row r="683">
      <c r="F683" s="18"/>
    </row>
    <row r="684">
      <c r="F684" s="18"/>
    </row>
    <row r="685">
      <c r="F685" s="18"/>
    </row>
    <row r="686">
      <c r="F686" s="18"/>
    </row>
    <row r="687">
      <c r="F687" s="18"/>
    </row>
    <row r="688">
      <c r="F688" s="18"/>
    </row>
    <row r="689">
      <c r="F689" s="18"/>
    </row>
    <row r="690">
      <c r="F690" s="18"/>
    </row>
    <row r="691">
      <c r="F691" s="18"/>
    </row>
    <row r="692">
      <c r="F692" s="18"/>
    </row>
    <row r="693">
      <c r="F693" s="18"/>
    </row>
    <row r="694">
      <c r="F694" s="18"/>
    </row>
    <row r="695">
      <c r="F695" s="18"/>
    </row>
    <row r="696">
      <c r="F696" s="18"/>
    </row>
    <row r="697">
      <c r="F697" s="18"/>
    </row>
    <row r="698">
      <c r="F698" s="18"/>
    </row>
    <row r="699">
      <c r="F699" s="18"/>
    </row>
    <row r="700">
      <c r="F700" s="18"/>
    </row>
    <row r="701">
      <c r="F701" s="18"/>
    </row>
    <row r="702">
      <c r="F702" s="18"/>
    </row>
    <row r="703">
      <c r="F703" s="18"/>
    </row>
    <row r="704">
      <c r="F704" s="18"/>
    </row>
    <row r="705">
      <c r="F705" s="18"/>
    </row>
    <row r="706">
      <c r="F706" s="18"/>
    </row>
    <row r="707">
      <c r="F707" s="18"/>
    </row>
    <row r="708">
      <c r="F708" s="18"/>
    </row>
    <row r="709">
      <c r="F709" s="18"/>
    </row>
    <row r="710">
      <c r="F710" s="18"/>
    </row>
    <row r="711">
      <c r="F711" s="18"/>
    </row>
    <row r="712">
      <c r="F712" s="18"/>
    </row>
    <row r="713">
      <c r="F713" s="18"/>
    </row>
    <row r="714">
      <c r="F714" s="18"/>
    </row>
    <row r="715">
      <c r="F715" s="18"/>
    </row>
    <row r="716">
      <c r="F716" s="18"/>
    </row>
    <row r="717">
      <c r="F717" s="18"/>
    </row>
    <row r="718">
      <c r="F718" s="18"/>
    </row>
    <row r="719">
      <c r="F719" s="18"/>
    </row>
    <row r="720">
      <c r="F720" s="18"/>
    </row>
    <row r="721">
      <c r="F721" s="18"/>
    </row>
    <row r="722">
      <c r="F722" s="18"/>
    </row>
    <row r="723">
      <c r="F723" s="18"/>
    </row>
    <row r="724">
      <c r="F724" s="18"/>
    </row>
    <row r="725">
      <c r="F725" s="18"/>
    </row>
    <row r="726">
      <c r="F726" s="18"/>
    </row>
    <row r="727">
      <c r="F727" s="18"/>
    </row>
    <row r="728">
      <c r="F728" s="18"/>
    </row>
    <row r="729">
      <c r="F729" s="18"/>
    </row>
    <row r="730">
      <c r="F730" s="18"/>
    </row>
    <row r="731">
      <c r="F731" s="18"/>
    </row>
    <row r="732">
      <c r="F732" s="18"/>
    </row>
    <row r="733">
      <c r="F733" s="18"/>
    </row>
    <row r="734">
      <c r="F734" s="18"/>
    </row>
    <row r="735">
      <c r="F735" s="18"/>
    </row>
    <row r="736">
      <c r="F736" s="18"/>
    </row>
    <row r="737">
      <c r="F737" s="18"/>
    </row>
    <row r="738">
      <c r="F738" s="18"/>
    </row>
    <row r="739">
      <c r="F739" s="18"/>
    </row>
    <row r="740">
      <c r="F740" s="18"/>
    </row>
    <row r="741">
      <c r="F741" s="18"/>
    </row>
    <row r="742">
      <c r="F742" s="18"/>
    </row>
    <row r="743">
      <c r="F743" s="18"/>
    </row>
    <row r="744">
      <c r="F744" s="18"/>
    </row>
    <row r="745">
      <c r="F745" s="18"/>
    </row>
    <row r="746">
      <c r="F746" s="18"/>
    </row>
    <row r="747">
      <c r="F747" s="18"/>
    </row>
    <row r="748">
      <c r="F748" s="18"/>
    </row>
    <row r="749">
      <c r="F749" s="18"/>
    </row>
    <row r="750">
      <c r="F750" s="18"/>
    </row>
    <row r="751">
      <c r="F751" s="18"/>
    </row>
    <row r="752">
      <c r="F752" s="18"/>
    </row>
    <row r="753">
      <c r="F753" s="18"/>
    </row>
    <row r="754">
      <c r="F754" s="18"/>
    </row>
    <row r="755">
      <c r="F755" s="18"/>
    </row>
    <row r="756">
      <c r="F756" s="18"/>
    </row>
    <row r="757">
      <c r="F757" s="18"/>
    </row>
    <row r="758">
      <c r="F758" s="18"/>
    </row>
    <row r="759">
      <c r="F759" s="18"/>
    </row>
    <row r="760">
      <c r="F760" s="18"/>
    </row>
    <row r="761">
      <c r="F761" s="18"/>
    </row>
    <row r="762">
      <c r="F762" s="18"/>
    </row>
    <row r="763">
      <c r="F763" s="18"/>
    </row>
    <row r="764">
      <c r="F764" s="18"/>
    </row>
    <row r="765">
      <c r="F765" s="18"/>
    </row>
    <row r="766">
      <c r="F766" s="18"/>
    </row>
    <row r="767">
      <c r="F767" s="18"/>
    </row>
    <row r="768">
      <c r="F768" s="18"/>
    </row>
    <row r="769">
      <c r="F769" s="18"/>
    </row>
    <row r="770">
      <c r="F770" s="18"/>
    </row>
    <row r="771">
      <c r="F771" s="18"/>
    </row>
    <row r="772">
      <c r="F772" s="18"/>
    </row>
    <row r="773">
      <c r="F773" s="18"/>
    </row>
    <row r="774">
      <c r="F774" s="18"/>
    </row>
    <row r="775">
      <c r="F775" s="18"/>
    </row>
    <row r="776">
      <c r="F776" s="18"/>
    </row>
    <row r="777">
      <c r="F777" s="18"/>
    </row>
    <row r="778">
      <c r="F778" s="18"/>
    </row>
    <row r="779">
      <c r="F779" s="18"/>
    </row>
    <row r="780">
      <c r="F780" s="18"/>
    </row>
    <row r="781">
      <c r="F781" s="18"/>
    </row>
    <row r="782">
      <c r="F782" s="18"/>
    </row>
    <row r="783">
      <c r="F783" s="18"/>
    </row>
    <row r="784">
      <c r="F784" s="18"/>
    </row>
    <row r="785">
      <c r="F785" s="18"/>
    </row>
    <row r="786">
      <c r="F786" s="18"/>
    </row>
    <row r="787">
      <c r="F787" s="18"/>
    </row>
    <row r="788">
      <c r="F788" s="18"/>
    </row>
    <row r="789">
      <c r="F789" s="18"/>
    </row>
    <row r="790">
      <c r="F790" s="18"/>
    </row>
    <row r="791">
      <c r="F791" s="18"/>
    </row>
    <row r="792">
      <c r="F792" s="18"/>
    </row>
    <row r="793">
      <c r="F793" s="18"/>
    </row>
    <row r="794">
      <c r="F794" s="18"/>
    </row>
    <row r="795">
      <c r="F795" s="18"/>
    </row>
    <row r="796">
      <c r="F796" s="18"/>
    </row>
    <row r="797">
      <c r="F797" s="18"/>
    </row>
    <row r="798">
      <c r="F798" s="18"/>
    </row>
    <row r="799">
      <c r="F799" s="18"/>
    </row>
    <row r="800">
      <c r="F800" s="18"/>
    </row>
    <row r="801">
      <c r="F801" s="18"/>
    </row>
    <row r="802">
      <c r="F802" s="18"/>
    </row>
    <row r="803">
      <c r="F803" s="18"/>
    </row>
    <row r="804">
      <c r="F804" s="18"/>
    </row>
    <row r="805">
      <c r="F805" s="18"/>
    </row>
    <row r="806">
      <c r="F806" s="18"/>
    </row>
    <row r="807">
      <c r="F807" s="18"/>
    </row>
    <row r="808">
      <c r="F808" s="18"/>
    </row>
    <row r="809">
      <c r="F809" s="18"/>
    </row>
    <row r="810">
      <c r="F810" s="18"/>
    </row>
    <row r="811">
      <c r="F811" s="18"/>
    </row>
    <row r="812">
      <c r="F812" s="18"/>
    </row>
    <row r="813">
      <c r="F813" s="18"/>
    </row>
    <row r="814">
      <c r="F814" s="18"/>
    </row>
    <row r="815">
      <c r="F815" s="18"/>
    </row>
    <row r="816">
      <c r="F816" s="18"/>
    </row>
    <row r="817">
      <c r="F817" s="18"/>
    </row>
    <row r="818">
      <c r="F818" s="18"/>
    </row>
    <row r="819">
      <c r="F819" s="18"/>
    </row>
    <row r="820">
      <c r="F820" s="18"/>
    </row>
    <row r="821">
      <c r="F821" s="18"/>
    </row>
    <row r="822">
      <c r="F822" s="18"/>
    </row>
    <row r="823">
      <c r="F823" s="18"/>
    </row>
    <row r="824">
      <c r="F824" s="18"/>
    </row>
    <row r="825">
      <c r="F825" s="18"/>
    </row>
    <row r="826">
      <c r="F826" s="18"/>
    </row>
    <row r="827">
      <c r="F827" s="18"/>
    </row>
    <row r="828">
      <c r="F828" s="18"/>
    </row>
    <row r="829">
      <c r="F829" s="18"/>
    </row>
    <row r="830">
      <c r="F830" s="18"/>
    </row>
    <row r="831">
      <c r="F831" s="18"/>
    </row>
    <row r="832">
      <c r="F832" s="18"/>
    </row>
    <row r="833">
      <c r="F833" s="18"/>
    </row>
    <row r="834">
      <c r="F834" s="18"/>
    </row>
    <row r="835">
      <c r="F835" s="18"/>
    </row>
    <row r="836">
      <c r="F836" s="18"/>
    </row>
    <row r="837">
      <c r="F837" s="18"/>
    </row>
    <row r="838">
      <c r="F838" s="18"/>
    </row>
    <row r="839">
      <c r="F839" s="18"/>
    </row>
    <row r="840">
      <c r="F840" s="18"/>
    </row>
    <row r="841">
      <c r="F841" s="18"/>
    </row>
    <row r="842">
      <c r="F842" s="18"/>
    </row>
    <row r="843">
      <c r="F843" s="18"/>
    </row>
    <row r="844">
      <c r="F844" s="18"/>
    </row>
    <row r="845">
      <c r="F845" s="18"/>
    </row>
    <row r="846">
      <c r="F846" s="18"/>
    </row>
    <row r="847">
      <c r="F847" s="18"/>
    </row>
    <row r="848">
      <c r="F848" s="18"/>
    </row>
    <row r="849">
      <c r="F849" s="18"/>
    </row>
    <row r="850">
      <c r="F850" s="18"/>
    </row>
    <row r="851">
      <c r="F851" s="18"/>
    </row>
    <row r="852">
      <c r="F852" s="18"/>
    </row>
    <row r="853">
      <c r="F853" s="18"/>
    </row>
    <row r="854">
      <c r="F854" s="18"/>
    </row>
    <row r="855">
      <c r="F855" s="18"/>
    </row>
    <row r="856">
      <c r="F856" s="18"/>
    </row>
    <row r="857">
      <c r="F857" s="18"/>
    </row>
    <row r="858">
      <c r="F858" s="18"/>
    </row>
    <row r="859">
      <c r="F859" s="18"/>
    </row>
    <row r="860">
      <c r="F860" s="18"/>
    </row>
    <row r="861">
      <c r="F861" s="18"/>
    </row>
    <row r="862">
      <c r="F862" s="18"/>
    </row>
    <row r="863">
      <c r="F863" s="18"/>
    </row>
    <row r="864">
      <c r="F864" s="18"/>
    </row>
    <row r="865">
      <c r="F865" s="18"/>
    </row>
    <row r="866">
      <c r="F866" s="18"/>
    </row>
    <row r="867">
      <c r="F867" s="18"/>
    </row>
    <row r="868">
      <c r="F868" s="18"/>
    </row>
    <row r="869">
      <c r="F869" s="18"/>
    </row>
    <row r="870">
      <c r="F870" s="18"/>
    </row>
    <row r="871">
      <c r="F871" s="18"/>
    </row>
    <row r="872">
      <c r="F872" s="18"/>
    </row>
    <row r="873">
      <c r="F873" s="18"/>
    </row>
    <row r="874">
      <c r="F874" s="18"/>
    </row>
    <row r="875">
      <c r="F875" s="18"/>
    </row>
    <row r="876">
      <c r="F876" s="18"/>
    </row>
    <row r="877">
      <c r="F877" s="18"/>
    </row>
    <row r="878">
      <c r="F878" s="18"/>
    </row>
    <row r="879">
      <c r="F879" s="18"/>
    </row>
    <row r="880">
      <c r="F880" s="18"/>
    </row>
    <row r="881">
      <c r="F881" s="18"/>
    </row>
    <row r="882">
      <c r="F882" s="18"/>
    </row>
    <row r="883">
      <c r="F883" s="18"/>
    </row>
    <row r="884">
      <c r="F884" s="18"/>
    </row>
    <row r="885">
      <c r="F885" s="18"/>
    </row>
    <row r="886">
      <c r="F886" s="18"/>
    </row>
    <row r="887">
      <c r="F887" s="18"/>
    </row>
    <row r="888">
      <c r="F888" s="18"/>
    </row>
    <row r="889">
      <c r="F889" s="18"/>
    </row>
    <row r="890">
      <c r="F890" s="18"/>
    </row>
    <row r="891">
      <c r="F891" s="18"/>
    </row>
    <row r="892">
      <c r="F892" s="18"/>
    </row>
    <row r="893">
      <c r="F893" s="18"/>
    </row>
    <row r="894">
      <c r="F894" s="18"/>
    </row>
    <row r="895">
      <c r="F895" s="18"/>
    </row>
    <row r="896">
      <c r="F896" s="18"/>
    </row>
    <row r="897">
      <c r="F897" s="18"/>
    </row>
    <row r="898">
      <c r="F898" s="18"/>
    </row>
    <row r="899">
      <c r="F899" s="18"/>
    </row>
    <row r="900">
      <c r="F900" s="18"/>
    </row>
    <row r="901">
      <c r="F901" s="18"/>
    </row>
    <row r="902">
      <c r="F902" s="18"/>
    </row>
    <row r="903">
      <c r="F903" s="18"/>
    </row>
    <row r="904">
      <c r="F904" s="18"/>
    </row>
    <row r="905">
      <c r="F905" s="18"/>
    </row>
    <row r="906">
      <c r="F906" s="18"/>
    </row>
    <row r="907">
      <c r="F907" s="18"/>
    </row>
    <row r="908">
      <c r="F908" s="18"/>
    </row>
    <row r="909">
      <c r="F909" s="18"/>
    </row>
    <row r="910">
      <c r="F910" s="18"/>
    </row>
    <row r="911">
      <c r="F911" s="18"/>
    </row>
    <row r="912">
      <c r="F912" s="18"/>
    </row>
    <row r="913">
      <c r="F913" s="18"/>
    </row>
    <row r="914">
      <c r="F914" s="18"/>
    </row>
    <row r="915">
      <c r="F915" s="18"/>
    </row>
    <row r="916">
      <c r="F916" s="18"/>
    </row>
    <row r="917">
      <c r="F917" s="18"/>
    </row>
    <row r="918">
      <c r="F918" s="18"/>
    </row>
    <row r="919">
      <c r="F919" s="18"/>
    </row>
    <row r="920">
      <c r="F920" s="18"/>
    </row>
    <row r="921">
      <c r="F921" s="18"/>
    </row>
    <row r="922">
      <c r="F922" s="18"/>
    </row>
    <row r="923">
      <c r="F923" s="18"/>
    </row>
    <row r="924">
      <c r="F924" s="18"/>
    </row>
    <row r="925">
      <c r="F925" s="18"/>
    </row>
    <row r="926">
      <c r="F926" s="18"/>
    </row>
    <row r="927">
      <c r="F927" s="18"/>
    </row>
    <row r="928">
      <c r="F928" s="18"/>
    </row>
    <row r="929">
      <c r="F929" s="18"/>
    </row>
    <row r="930">
      <c r="F930" s="18"/>
    </row>
    <row r="931">
      <c r="F931" s="18"/>
    </row>
    <row r="932">
      <c r="F932" s="18"/>
    </row>
    <row r="933">
      <c r="F933" s="18"/>
    </row>
    <row r="934">
      <c r="F934" s="18"/>
    </row>
    <row r="935">
      <c r="F935" s="18"/>
    </row>
    <row r="936">
      <c r="F936" s="18"/>
    </row>
    <row r="937">
      <c r="F937" s="18"/>
    </row>
    <row r="938">
      <c r="F938" s="18"/>
    </row>
    <row r="939">
      <c r="F939" s="18"/>
    </row>
    <row r="940">
      <c r="F940" s="18"/>
    </row>
    <row r="941">
      <c r="F941" s="18"/>
    </row>
    <row r="942">
      <c r="F942" s="18"/>
    </row>
    <row r="943">
      <c r="F943" s="18"/>
    </row>
    <row r="944">
      <c r="F944" s="18"/>
    </row>
    <row r="945">
      <c r="F945" s="18"/>
    </row>
    <row r="946">
      <c r="F946" s="18"/>
    </row>
    <row r="947">
      <c r="F947" s="18"/>
    </row>
    <row r="948">
      <c r="F948" s="18"/>
    </row>
    <row r="949">
      <c r="F949" s="18"/>
    </row>
    <row r="950">
      <c r="F950" s="18"/>
    </row>
    <row r="951">
      <c r="F951" s="18"/>
    </row>
    <row r="952">
      <c r="F952" s="18"/>
    </row>
    <row r="953">
      <c r="F953" s="18"/>
    </row>
    <row r="954">
      <c r="F954" s="18"/>
    </row>
    <row r="955">
      <c r="F955" s="18"/>
    </row>
    <row r="956">
      <c r="F956" s="18"/>
    </row>
    <row r="957">
      <c r="F957" s="18"/>
    </row>
    <row r="958">
      <c r="F958" s="18"/>
    </row>
    <row r="959">
      <c r="F959" s="18"/>
    </row>
    <row r="960">
      <c r="F960" s="18"/>
    </row>
    <row r="961">
      <c r="F961" s="18"/>
    </row>
    <row r="962">
      <c r="F962" s="18"/>
    </row>
    <row r="963">
      <c r="F963" s="18"/>
    </row>
    <row r="964">
      <c r="F964" s="18"/>
    </row>
    <row r="965">
      <c r="F965" s="18"/>
    </row>
    <row r="966">
      <c r="F966" s="18"/>
    </row>
    <row r="967">
      <c r="F967" s="18"/>
    </row>
    <row r="968">
      <c r="F968" s="18"/>
    </row>
    <row r="969">
      <c r="F969" s="18"/>
    </row>
    <row r="970">
      <c r="F970" s="18"/>
    </row>
    <row r="971">
      <c r="F971" s="18"/>
    </row>
    <row r="972">
      <c r="F972" s="18"/>
    </row>
    <row r="973">
      <c r="F973" s="18"/>
    </row>
    <row r="974">
      <c r="F974" s="18"/>
    </row>
    <row r="975">
      <c r="F975" s="18"/>
    </row>
    <row r="976">
      <c r="F976" s="18"/>
    </row>
    <row r="977">
      <c r="F977" s="18"/>
    </row>
    <row r="978">
      <c r="F978" s="18"/>
    </row>
    <row r="979">
      <c r="F979" s="18"/>
    </row>
    <row r="980">
      <c r="F980" s="18"/>
    </row>
    <row r="981">
      <c r="F981" s="18"/>
    </row>
    <row r="982">
      <c r="F982" s="18"/>
    </row>
    <row r="983">
      <c r="F983" s="18"/>
    </row>
    <row r="984">
      <c r="F984" s="18"/>
    </row>
    <row r="985">
      <c r="F985" s="18"/>
    </row>
    <row r="986">
      <c r="F986" s="18"/>
    </row>
    <row r="987">
      <c r="F987" s="18"/>
    </row>
    <row r="988">
      <c r="F988" s="18"/>
    </row>
    <row r="989">
      <c r="F989" s="18"/>
    </row>
    <row r="990">
      <c r="F990" s="18"/>
    </row>
    <row r="991">
      <c r="F991" s="18"/>
    </row>
    <row r="992">
      <c r="F992" s="18"/>
    </row>
    <row r="993">
      <c r="F993" s="18"/>
    </row>
    <row r="994">
      <c r="F994" s="18"/>
    </row>
    <row r="995">
      <c r="F995" s="18"/>
    </row>
    <row r="996">
      <c r="F996" s="18"/>
    </row>
    <row r="997">
      <c r="F997" s="18"/>
    </row>
    <row r="998">
      <c r="F998" s="18"/>
    </row>
    <row r="999">
      <c r="F999" s="18"/>
    </row>
    <row r="1000">
      <c r="F1000" s="1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3" width="9.0"/>
    <col customWidth="1" min="4" max="4" width="7.71"/>
    <col customWidth="1" min="5" max="8" width="8.71"/>
    <col customWidth="1" min="9" max="9" width="9.0"/>
    <col customWidth="1" min="10" max="10" width="8.86"/>
    <col customWidth="1" min="11" max="11" width="10.0"/>
  </cols>
  <sheetData>
    <row r="1" ht="22.5" customHeight="1">
      <c r="A1" s="1" t="s">
        <v>0</v>
      </c>
      <c r="B1" s="2" t="s">
        <v>1</v>
      </c>
      <c r="C1" s="2" t="s">
        <v>3</v>
      </c>
      <c r="D1" s="2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15</v>
      </c>
      <c r="K1" s="3" t="s">
        <v>23</v>
      </c>
    </row>
    <row r="2" ht="22.5" customHeight="1">
      <c r="A2" s="5" t="s">
        <v>26</v>
      </c>
      <c r="B2" s="6">
        <f>COUNTIF(Game_Data[Player],$A2)</f>
        <v>31</v>
      </c>
      <c r="C2" s="6">
        <f>SUMIF(Game_Data[Player],$A2,Game_Data[AB])</f>
        <v>119</v>
      </c>
      <c r="D2" s="6">
        <f>SUMIF(Game_Data[Player],$A2,Game_Data[H])</f>
        <v>88</v>
      </c>
      <c r="E2" s="7">
        <f>SUMIF(Game_Data[Player],$A2,Game_Data[1B])</f>
        <v>44</v>
      </c>
      <c r="F2" s="7">
        <f>SUMIF(Game_Data[Player],$A2,Game_Data[2B])</f>
        <v>28</v>
      </c>
      <c r="G2" s="7">
        <f>SUMIF(Game_Data[Player],$A2,Game_Data[3B])</f>
        <v>5</v>
      </c>
      <c r="H2" s="7">
        <f>SUMIF(Game_Data[Player],$A2,Game_Data[4B])</f>
        <v>8</v>
      </c>
      <c r="I2" s="7">
        <f>SUMIF(Game_Data[Player],$A2,Game_Data[HR])</f>
        <v>3</v>
      </c>
      <c r="J2" s="7">
        <f t="shared" ref="J2:J17" si="1">(E2)+(F2*2)+(G2*3)+(H2*4)+(I2*4)</f>
        <v>159</v>
      </c>
      <c r="K2" s="10">
        <f t="shared" ref="K2:K17" si="2">IFERROR(J2/C2,0)</f>
        <v>1.336134454</v>
      </c>
    </row>
    <row r="3" ht="22.5" customHeight="1">
      <c r="A3" s="5" t="s">
        <v>30</v>
      </c>
      <c r="B3" s="6">
        <f>COUNTIF(Game_Data[Player],$A3)</f>
        <v>31</v>
      </c>
      <c r="C3" s="6">
        <f>SUMIF(Game_Data[Player],$A3,Game_Data[AB])</f>
        <v>116</v>
      </c>
      <c r="D3" s="6">
        <f>SUMIF(Game_Data[Player],$A3,Game_Data[H])</f>
        <v>71</v>
      </c>
      <c r="E3" s="7">
        <f>SUMIF(Game_Data[Player],$A3,Game_Data[1B])</f>
        <v>40</v>
      </c>
      <c r="F3" s="7">
        <f>SUMIF(Game_Data[Player],$A3,Game_Data[2B])</f>
        <v>12</v>
      </c>
      <c r="G3" s="7">
        <f>SUMIF(Game_Data[Player],$A3,Game_Data[3B])</f>
        <v>1</v>
      </c>
      <c r="H3" s="7">
        <f>SUMIF(Game_Data[Player],$A3,Game_Data[4B])</f>
        <v>0</v>
      </c>
      <c r="I3" s="7">
        <f>SUMIF(Game_Data[Player],$A3,Game_Data[HR])</f>
        <v>18</v>
      </c>
      <c r="J3" s="7">
        <f t="shared" si="1"/>
        <v>139</v>
      </c>
      <c r="K3" s="10">
        <f t="shared" si="2"/>
        <v>1.198275862</v>
      </c>
    </row>
    <row r="4" ht="22.5" customHeight="1">
      <c r="A4" s="5" t="s">
        <v>25</v>
      </c>
      <c r="B4" s="6">
        <f>COUNTIF(Game_Data[Player],$A4)</f>
        <v>21</v>
      </c>
      <c r="C4" s="6">
        <f>SUMIF(Game_Data[Player],$A4,Game_Data[AB])</f>
        <v>77</v>
      </c>
      <c r="D4" s="6">
        <f>SUMIF(Game_Data[Player],$A4,Game_Data[H])</f>
        <v>59</v>
      </c>
      <c r="E4" s="7">
        <f>SUMIF(Game_Data[Player],$A4,Game_Data[1B])</f>
        <v>43</v>
      </c>
      <c r="F4" s="7">
        <f>SUMIF(Game_Data[Player],$A4,Game_Data[2B])</f>
        <v>8</v>
      </c>
      <c r="G4" s="7">
        <f>SUMIF(Game_Data[Player],$A4,Game_Data[3B])</f>
        <v>5</v>
      </c>
      <c r="H4" s="7">
        <f>SUMIF(Game_Data[Player],$A4,Game_Data[4B])</f>
        <v>0</v>
      </c>
      <c r="I4" s="7">
        <f>SUMIF(Game_Data[Player],$A4,Game_Data[HR])</f>
        <v>3</v>
      </c>
      <c r="J4" s="7">
        <f t="shared" si="1"/>
        <v>86</v>
      </c>
      <c r="K4" s="10">
        <f t="shared" si="2"/>
        <v>1.116883117</v>
      </c>
    </row>
    <row r="5" ht="22.5" customHeight="1">
      <c r="A5" s="5" t="s">
        <v>32</v>
      </c>
      <c r="B5" s="6">
        <f>COUNTIF(Game_Data[Player],$A5)</f>
        <v>23</v>
      </c>
      <c r="C5" s="6">
        <f>SUMIF(Game_Data[Player],$A5,Game_Data[AB])</f>
        <v>85</v>
      </c>
      <c r="D5" s="6">
        <f>SUMIF(Game_Data[Player],$A5,Game_Data[H])</f>
        <v>51</v>
      </c>
      <c r="E5" s="7">
        <f>SUMIF(Game_Data[Player],$A5,Game_Data[1B])</f>
        <v>32</v>
      </c>
      <c r="F5" s="7">
        <f>SUMIF(Game_Data[Player],$A5,Game_Data[2B])</f>
        <v>12</v>
      </c>
      <c r="G5" s="7">
        <f>SUMIF(Game_Data[Player],$A5,Game_Data[3B])</f>
        <v>4</v>
      </c>
      <c r="H5" s="7">
        <f>SUMIF(Game_Data[Player],$A5,Game_Data[4B])</f>
        <v>0</v>
      </c>
      <c r="I5" s="7">
        <f>SUMIF(Game_Data[Player],$A5,Game_Data[HR])</f>
        <v>3</v>
      </c>
      <c r="J5" s="7">
        <f t="shared" si="1"/>
        <v>80</v>
      </c>
      <c r="K5" s="10">
        <f t="shared" si="2"/>
        <v>0.9411764706</v>
      </c>
    </row>
    <row r="6" ht="22.5" customHeight="1">
      <c r="A6" s="5" t="s">
        <v>31</v>
      </c>
      <c r="B6" s="6">
        <f>COUNTIF(Game_Data[Player],$A6)</f>
        <v>8</v>
      </c>
      <c r="C6" s="6">
        <f>SUMIF(Game_Data[Player],$A6,Game_Data[AB])</f>
        <v>28</v>
      </c>
      <c r="D6" s="6">
        <f>SUMIF(Game_Data[Player],$A6,Game_Data[H])</f>
        <v>17</v>
      </c>
      <c r="E6" s="7">
        <f>SUMIF(Game_Data[Player],$A6,Game_Data[1B])</f>
        <v>11</v>
      </c>
      <c r="F6" s="7">
        <f>SUMIF(Game_Data[Player],$A6,Game_Data[2B])</f>
        <v>4</v>
      </c>
      <c r="G6" s="7">
        <f>SUMIF(Game_Data[Player],$A6,Game_Data[3B])</f>
        <v>2</v>
      </c>
      <c r="H6" s="7">
        <f>SUMIF(Game_Data[Player],$A6,Game_Data[4B])</f>
        <v>0</v>
      </c>
      <c r="I6" s="7">
        <f>SUMIF(Game_Data[Player],$A6,Game_Data[HR])</f>
        <v>0</v>
      </c>
      <c r="J6" s="7">
        <f t="shared" si="1"/>
        <v>25</v>
      </c>
      <c r="K6" s="10">
        <f t="shared" si="2"/>
        <v>0.8928571429</v>
      </c>
    </row>
    <row r="7" ht="22.5" customHeight="1">
      <c r="A7" s="5" t="s">
        <v>33</v>
      </c>
      <c r="B7" s="6">
        <f>COUNTIF(Game_Data[Player],$A7)</f>
        <v>31</v>
      </c>
      <c r="C7" s="6">
        <f>SUMIF(Game_Data[Player],$A7,Game_Data[AB])</f>
        <v>117</v>
      </c>
      <c r="D7" s="6">
        <f>SUMIF(Game_Data[Player],$A7,Game_Data[H])</f>
        <v>70</v>
      </c>
      <c r="E7" s="7">
        <f>SUMIF(Game_Data[Player],$A7,Game_Data[1B])</f>
        <v>45</v>
      </c>
      <c r="F7" s="7">
        <f>SUMIF(Game_Data[Player],$A7,Game_Data[2B])</f>
        <v>19</v>
      </c>
      <c r="G7" s="7">
        <f>SUMIF(Game_Data[Player],$A7,Game_Data[3B])</f>
        <v>3</v>
      </c>
      <c r="H7" s="7">
        <f>SUMIF(Game_Data[Player],$A7,Game_Data[4B])</f>
        <v>0</v>
      </c>
      <c r="I7" s="7">
        <f>SUMIF(Game_Data[Player],$A7,Game_Data[HR])</f>
        <v>3</v>
      </c>
      <c r="J7" s="7">
        <f t="shared" si="1"/>
        <v>104</v>
      </c>
      <c r="K7" s="10">
        <f t="shared" si="2"/>
        <v>0.8888888889</v>
      </c>
    </row>
    <row r="8" ht="22.5" customHeight="1">
      <c r="A8" s="5" t="s">
        <v>27</v>
      </c>
      <c r="B8" s="6">
        <f>COUNTIF(Game_Data[Player],$A8)</f>
        <v>26</v>
      </c>
      <c r="C8" s="6">
        <f>SUMIF(Game_Data[Player],$A8,Game_Data[AB])</f>
        <v>94</v>
      </c>
      <c r="D8" s="6">
        <f>SUMIF(Game_Data[Player],$A8,Game_Data[H])</f>
        <v>59</v>
      </c>
      <c r="E8" s="7">
        <f>SUMIF(Game_Data[Player],$A8,Game_Data[1B])</f>
        <v>42</v>
      </c>
      <c r="F8" s="7">
        <f>SUMIF(Game_Data[Player],$A8,Game_Data[2B])</f>
        <v>13</v>
      </c>
      <c r="G8" s="7">
        <f>SUMIF(Game_Data[Player],$A8,Game_Data[3B])</f>
        <v>1</v>
      </c>
      <c r="H8" s="7">
        <f>SUMIF(Game_Data[Player],$A8,Game_Data[4B])</f>
        <v>0</v>
      </c>
      <c r="I8" s="7">
        <f>SUMIF(Game_Data[Player],$A8,Game_Data[HR])</f>
        <v>3</v>
      </c>
      <c r="J8" s="7">
        <f t="shared" si="1"/>
        <v>83</v>
      </c>
      <c r="K8" s="10">
        <f t="shared" si="2"/>
        <v>0.8829787234</v>
      </c>
    </row>
    <row r="9" ht="22.5" customHeight="1">
      <c r="A9" s="5" t="s">
        <v>28</v>
      </c>
      <c r="B9" s="6">
        <f>COUNTIF(Game_Data[Player],$A9)</f>
        <v>30</v>
      </c>
      <c r="C9" s="6">
        <f>SUMIF(Game_Data[Player],$A9,Game_Data[AB])</f>
        <v>115</v>
      </c>
      <c r="D9" s="6">
        <f>SUMIF(Game_Data[Player],$A9,Game_Data[H])</f>
        <v>72</v>
      </c>
      <c r="E9" s="7">
        <f>SUMIF(Game_Data[Player],$A9,Game_Data[1B])</f>
        <v>51</v>
      </c>
      <c r="F9" s="7">
        <f>SUMIF(Game_Data[Player],$A9,Game_Data[2B])</f>
        <v>14</v>
      </c>
      <c r="G9" s="7">
        <f>SUMIF(Game_Data[Player],$A9,Game_Data[3B])</f>
        <v>6</v>
      </c>
      <c r="H9" s="7">
        <f>SUMIF(Game_Data[Player],$A9,Game_Data[4B])</f>
        <v>1</v>
      </c>
      <c r="I9" s="7">
        <f>SUMIF(Game_Data[Player],$A9,Game_Data[HR])</f>
        <v>0</v>
      </c>
      <c r="J9" s="7">
        <f t="shared" si="1"/>
        <v>101</v>
      </c>
      <c r="K9" s="10">
        <f t="shared" si="2"/>
        <v>0.8782608696</v>
      </c>
    </row>
    <row r="10" ht="22.5" customHeight="1">
      <c r="A10" s="5" t="s">
        <v>29</v>
      </c>
      <c r="B10" s="6">
        <f>COUNTIF(Game_Data[Player],$A10)</f>
        <v>33</v>
      </c>
      <c r="C10" s="6">
        <f>SUMIF(Game_Data[Player],$A10,Game_Data[AB])</f>
        <v>114</v>
      </c>
      <c r="D10" s="6">
        <f>SUMIF(Game_Data[Player],$A10,Game_Data[H])</f>
        <v>70</v>
      </c>
      <c r="E10" s="7">
        <f>SUMIF(Game_Data[Player],$A10,Game_Data[1B])</f>
        <v>57</v>
      </c>
      <c r="F10" s="7">
        <f>SUMIF(Game_Data[Player],$A10,Game_Data[2B])</f>
        <v>10</v>
      </c>
      <c r="G10" s="7">
        <f>SUMIF(Game_Data[Player],$A10,Game_Data[3B])</f>
        <v>3</v>
      </c>
      <c r="H10" s="7">
        <f>SUMIF(Game_Data[Player],$A10,Game_Data[4B])</f>
        <v>0</v>
      </c>
      <c r="I10" s="7">
        <f>SUMIF(Game_Data[Player],$A10,Game_Data[HR])</f>
        <v>0</v>
      </c>
      <c r="J10" s="7">
        <f t="shared" si="1"/>
        <v>86</v>
      </c>
      <c r="K10" s="10">
        <f t="shared" si="2"/>
        <v>0.7543859649</v>
      </c>
    </row>
    <row r="11" ht="22.5" customHeight="1">
      <c r="A11" s="5" t="s">
        <v>35</v>
      </c>
      <c r="B11" s="6">
        <f>COUNTIF(Game_Data[Player],$A11)</f>
        <v>22</v>
      </c>
      <c r="C11" s="6">
        <f>SUMIF(Game_Data[Player],$A11,Game_Data[AB])</f>
        <v>79</v>
      </c>
      <c r="D11" s="6">
        <f>SUMIF(Game_Data[Player],$A11,Game_Data[H])</f>
        <v>43</v>
      </c>
      <c r="E11" s="7">
        <f>SUMIF(Game_Data[Player],$A11,Game_Data[1B])</f>
        <v>31</v>
      </c>
      <c r="F11" s="7">
        <f>SUMIF(Game_Data[Player],$A11,Game_Data[2B])</f>
        <v>9</v>
      </c>
      <c r="G11" s="7">
        <f>SUMIF(Game_Data[Player],$A11,Game_Data[3B])</f>
        <v>2</v>
      </c>
      <c r="H11" s="7">
        <f>SUMIF(Game_Data[Player],$A11,Game_Data[4B])</f>
        <v>0</v>
      </c>
      <c r="I11" s="7">
        <f>SUMIF(Game_Data[Player],$A11,Game_Data[HR])</f>
        <v>1</v>
      </c>
      <c r="J11" s="7">
        <f t="shared" si="1"/>
        <v>59</v>
      </c>
      <c r="K11" s="10">
        <f t="shared" si="2"/>
        <v>0.746835443</v>
      </c>
    </row>
    <row r="12" ht="22.5" customHeight="1">
      <c r="A12" s="5" t="s">
        <v>34</v>
      </c>
      <c r="B12" s="6">
        <f>COUNTIF(Game_Data[Player],$A12)</f>
        <v>26</v>
      </c>
      <c r="C12" s="6">
        <f>SUMIF(Game_Data[Player],$A12,Game_Data[AB])</f>
        <v>94</v>
      </c>
      <c r="D12" s="6">
        <f>SUMIF(Game_Data[Player],$A12,Game_Data[H])</f>
        <v>56</v>
      </c>
      <c r="E12" s="7">
        <f>SUMIF(Game_Data[Player],$A12,Game_Data[1B])</f>
        <v>47</v>
      </c>
      <c r="F12" s="7">
        <f>SUMIF(Game_Data[Player],$A12,Game_Data[2B])</f>
        <v>6</v>
      </c>
      <c r="G12" s="7">
        <f>SUMIF(Game_Data[Player],$A12,Game_Data[3B])</f>
        <v>3</v>
      </c>
      <c r="H12" s="7">
        <f>SUMIF(Game_Data[Player],$A12,Game_Data[4B])</f>
        <v>0</v>
      </c>
      <c r="I12" s="7">
        <f>SUMIF(Game_Data[Player],$A12,Game_Data[HR])</f>
        <v>0</v>
      </c>
      <c r="J12" s="7">
        <f t="shared" si="1"/>
        <v>68</v>
      </c>
      <c r="K12" s="10">
        <f t="shared" si="2"/>
        <v>0.7234042553</v>
      </c>
    </row>
    <row r="13" ht="22.5" customHeight="1">
      <c r="A13" s="5" t="s">
        <v>36</v>
      </c>
      <c r="B13" s="6">
        <f>COUNTIF(Game_Data[Player],$A13)</f>
        <v>37</v>
      </c>
      <c r="C13" s="6">
        <f>SUMIF(Game_Data[Player],$A13,Game_Data[AB])</f>
        <v>131</v>
      </c>
      <c r="D13" s="6">
        <f>SUMIF(Game_Data[Player],$A13,Game_Data[H])</f>
        <v>63</v>
      </c>
      <c r="E13" s="6">
        <f>SUMIF(Game_Data[Player],$A13,Game_Data[1B])</f>
        <v>50</v>
      </c>
      <c r="F13" s="6">
        <f>SUMIF(Game_Data[Player],$A13,Game_Data[2B])</f>
        <v>11</v>
      </c>
      <c r="G13" s="6">
        <f>SUMIF(Game_Data[Player],$A13,Game_Data[3B])</f>
        <v>2</v>
      </c>
      <c r="H13" s="6">
        <f>SUMIF(Game_Data[Player],$A13,Game_Data[4B])</f>
        <v>0</v>
      </c>
      <c r="I13" s="6">
        <f>SUMIF(Game_Data[Player],$A13,Game_Data[HR])</f>
        <v>0</v>
      </c>
      <c r="J13" s="6">
        <f t="shared" si="1"/>
        <v>78</v>
      </c>
      <c r="K13" s="10">
        <f t="shared" si="2"/>
        <v>0.5954198473</v>
      </c>
    </row>
    <row r="14" ht="22.5" customHeight="1">
      <c r="A14" s="5" t="s">
        <v>37</v>
      </c>
      <c r="B14" s="6">
        <f>COUNTIF(Game_Data[Player],$A14)</f>
        <v>23</v>
      </c>
      <c r="C14" s="6">
        <f>SUMIF(Game_Data[Player],$A14,Game_Data[AB])</f>
        <v>80</v>
      </c>
      <c r="D14" s="6">
        <f>SUMIF(Game_Data[Player],$A14,Game_Data[H])</f>
        <v>37</v>
      </c>
      <c r="E14" s="7">
        <f>SUMIF(Game_Data[Player],$A14,Game_Data[1B])</f>
        <v>32</v>
      </c>
      <c r="F14" s="7">
        <f>SUMIF(Game_Data[Player],$A14,Game_Data[2B])</f>
        <v>5</v>
      </c>
      <c r="G14" s="7">
        <f>SUMIF(Game_Data[Player],$A14,Game_Data[3B])</f>
        <v>0</v>
      </c>
      <c r="H14" s="7">
        <f>SUMIF(Game_Data[Player],$A14,Game_Data[4B])</f>
        <v>0</v>
      </c>
      <c r="I14" s="7">
        <f>SUMIF(Game_Data[Player],$A14,Game_Data[HR])</f>
        <v>0</v>
      </c>
      <c r="J14" s="7">
        <f t="shared" si="1"/>
        <v>42</v>
      </c>
      <c r="K14" s="10">
        <f t="shared" si="2"/>
        <v>0.525</v>
      </c>
    </row>
    <row r="15" ht="22.5" customHeight="1">
      <c r="A15" s="12" t="s">
        <v>39</v>
      </c>
      <c r="B15" s="6">
        <f>COUNTIF(Game_Data[Player],$A15)</f>
        <v>18</v>
      </c>
      <c r="C15" s="6">
        <f>SUMIF(Game_Data[Player],$A15,Game_Data[AB])</f>
        <v>55</v>
      </c>
      <c r="D15" s="6">
        <f>SUMIF(Game_Data[Player],$A15,Game_Data[H])</f>
        <v>22</v>
      </c>
      <c r="E15" s="7">
        <f>SUMIF(Game_Data[Player],$A15,Game_Data[1B])</f>
        <v>18</v>
      </c>
      <c r="F15" s="7">
        <f>SUMIF(Game_Data[Player],$A15,Game_Data[2B])</f>
        <v>3</v>
      </c>
      <c r="G15" s="7">
        <f>SUMIF(Game_Data[Player],$A15,Game_Data[3B])</f>
        <v>0</v>
      </c>
      <c r="H15" s="7">
        <f>SUMIF(Game_Data[Player],$A15,Game_Data[4B])</f>
        <v>0</v>
      </c>
      <c r="I15" s="7">
        <f>SUMIF(Game_Data[Player],$A15,Game_Data[HR])</f>
        <v>1</v>
      </c>
      <c r="J15" s="7">
        <f t="shared" si="1"/>
        <v>28</v>
      </c>
      <c r="K15" s="10">
        <f t="shared" si="2"/>
        <v>0.5090909091</v>
      </c>
    </row>
    <row r="16" ht="22.5" customHeight="1">
      <c r="A16" s="12" t="s">
        <v>38</v>
      </c>
      <c r="B16" s="6">
        <f>COUNTIF(Game_Data[Player],$A16)</f>
        <v>37</v>
      </c>
      <c r="C16" s="6">
        <f>SUMIF(Game_Data[Player],$A16,Game_Data[AB])</f>
        <v>123</v>
      </c>
      <c r="D16" s="6">
        <f>SUMIF(Game_Data[Player],$A16,Game_Data[H])</f>
        <v>55</v>
      </c>
      <c r="E16" s="7">
        <f>SUMIF(Game_Data[Player],$A16,Game_Data[1B])</f>
        <v>49</v>
      </c>
      <c r="F16" s="7">
        <f>SUMIF(Game_Data[Player],$A16,Game_Data[2B])</f>
        <v>5</v>
      </c>
      <c r="G16" s="7">
        <f>SUMIF(Game_Data[Player],$A16,Game_Data[3B])</f>
        <v>1</v>
      </c>
      <c r="H16" s="7">
        <f>SUMIF(Game_Data[Player],$A16,Game_Data[4B])</f>
        <v>0</v>
      </c>
      <c r="I16" s="7">
        <f>SUMIF(Game_Data[Player],$A16,Game_Data[HR])</f>
        <v>0</v>
      </c>
      <c r="J16" s="7">
        <f t="shared" si="1"/>
        <v>62</v>
      </c>
      <c r="K16" s="10">
        <f t="shared" si="2"/>
        <v>0.5040650407</v>
      </c>
    </row>
    <row r="17" ht="22.5" customHeight="1">
      <c r="A17" s="5" t="s">
        <v>40</v>
      </c>
      <c r="B17" s="6">
        <f>COUNTIF(Game_Data[Player],$A17)</f>
        <v>20</v>
      </c>
      <c r="C17" s="6">
        <f>SUMIF(Game_Data[Player],$A17,Game_Data[AB])</f>
        <v>67</v>
      </c>
      <c r="D17" s="6">
        <f>SUMIF(Game_Data[Player],$A17,Game_Data[H])</f>
        <v>21</v>
      </c>
      <c r="E17" s="7">
        <f>SUMIF(Game_Data[Player],$A17,Game_Data[1B])</f>
        <v>20</v>
      </c>
      <c r="F17" s="7">
        <f>SUMIF(Game_Data[Player],$A17,Game_Data[2B])</f>
        <v>1</v>
      </c>
      <c r="G17" s="7">
        <f>SUMIF(Game_Data[Player],$A17,Game_Data[3B])</f>
        <v>0</v>
      </c>
      <c r="H17" s="7">
        <f>SUMIF(Game_Data[Player],$A17,Game_Data[4B])</f>
        <v>0</v>
      </c>
      <c r="I17" s="7">
        <f>SUMIF(Game_Data[Player],$A17,Game_Data[HR])</f>
        <v>0</v>
      </c>
      <c r="J17" s="7">
        <f t="shared" si="1"/>
        <v>22</v>
      </c>
      <c r="K17" s="10">
        <f t="shared" si="2"/>
        <v>0.328358209</v>
      </c>
    </row>
    <row r="18" ht="22.5" customHeight="1">
      <c r="A18" s="13" t="s">
        <v>41</v>
      </c>
      <c r="B18" s="14">
        <f>MAX(Game_Data[Game #])</f>
        <v>38</v>
      </c>
      <c r="C18" s="15">
        <f>SUBTOTAL(9, SLG[AB])</f>
        <v>1494</v>
      </c>
      <c r="D18" s="15">
        <f>SUBTOTAL(9, SLG[H])</f>
        <v>854</v>
      </c>
      <c r="E18" s="15">
        <f>SUBTOTAL(9, SLG[1B])</f>
        <v>612</v>
      </c>
      <c r="F18" s="15">
        <f>SUBTOTAL(9, SLG[2B])</f>
        <v>160</v>
      </c>
      <c r="G18" s="15">
        <f>SUBTOTAL(9, SLG[3B])</f>
        <v>38</v>
      </c>
      <c r="H18" s="15">
        <f>SUBTOTAL(9, SLG[4B])</f>
        <v>9</v>
      </c>
      <c r="I18" s="15">
        <f>SUBTOTAL(9, SLG[HR])</f>
        <v>35</v>
      </c>
      <c r="J18" s="7">
        <f>SUBTOTAL(9,SLG[TB])</f>
        <v>1222</v>
      </c>
      <c r="K18" s="10">
        <f>IFERROR(SLG[[#TOTALS],[TB]]/SLG[[#TOTALS],[AB]],0)</f>
        <v>0.8179384203</v>
      </c>
    </row>
    <row r="19">
      <c r="K19" s="18"/>
    </row>
    <row r="20">
      <c r="K20" s="18"/>
    </row>
    <row r="21">
      <c r="K21" s="18"/>
    </row>
    <row r="22">
      <c r="K22" s="18"/>
    </row>
    <row r="23">
      <c r="K23" s="18"/>
    </row>
    <row r="24">
      <c r="K24" s="18"/>
    </row>
    <row r="25">
      <c r="K25" s="18"/>
    </row>
    <row r="26">
      <c r="K26" s="18"/>
    </row>
    <row r="27">
      <c r="K27" s="18"/>
    </row>
    <row r="28">
      <c r="K28" s="18"/>
    </row>
    <row r="29">
      <c r="K29" s="18"/>
    </row>
    <row r="30">
      <c r="K30" s="18"/>
    </row>
    <row r="31">
      <c r="K31" s="18"/>
    </row>
    <row r="32">
      <c r="K32" s="18"/>
    </row>
    <row r="33">
      <c r="K33" s="18"/>
    </row>
    <row r="34">
      <c r="K34" s="18"/>
    </row>
    <row r="35">
      <c r="K35" s="18"/>
    </row>
    <row r="36">
      <c r="K36" s="18"/>
    </row>
    <row r="37">
      <c r="K37" s="18"/>
    </row>
    <row r="38">
      <c r="K38" s="18"/>
    </row>
    <row r="39">
      <c r="K39" s="18"/>
    </row>
    <row r="40">
      <c r="K40" s="18"/>
    </row>
    <row r="41">
      <c r="K41" s="18"/>
    </row>
    <row r="42">
      <c r="K42" s="18"/>
    </row>
    <row r="43">
      <c r="K43" s="18"/>
    </row>
    <row r="44">
      <c r="K44" s="18"/>
    </row>
    <row r="45">
      <c r="K45" s="18"/>
    </row>
    <row r="46">
      <c r="K46" s="18"/>
    </row>
    <row r="47">
      <c r="K47" s="18"/>
    </row>
    <row r="48">
      <c r="K48" s="18"/>
    </row>
    <row r="49">
      <c r="K49" s="18"/>
    </row>
    <row r="50">
      <c r="K50" s="18"/>
    </row>
    <row r="51">
      <c r="K51" s="18"/>
    </row>
    <row r="52">
      <c r="K52" s="18"/>
    </row>
    <row r="53">
      <c r="K53" s="18"/>
    </row>
    <row r="54">
      <c r="K54" s="18"/>
    </row>
    <row r="55">
      <c r="K55" s="18"/>
    </row>
    <row r="56">
      <c r="K56" s="18"/>
    </row>
    <row r="57">
      <c r="K57" s="18"/>
    </row>
    <row r="58">
      <c r="K58" s="18"/>
    </row>
    <row r="59">
      <c r="K59" s="18"/>
    </row>
    <row r="60">
      <c r="K60" s="18"/>
    </row>
    <row r="61">
      <c r="K61" s="18"/>
    </row>
    <row r="62">
      <c r="K62" s="18"/>
    </row>
    <row r="63">
      <c r="K63" s="18"/>
    </row>
    <row r="64">
      <c r="K64" s="18"/>
    </row>
    <row r="65">
      <c r="K65" s="18"/>
    </row>
    <row r="66">
      <c r="K66" s="18"/>
    </row>
    <row r="67">
      <c r="K67" s="18"/>
    </row>
    <row r="68">
      <c r="K68" s="18"/>
    </row>
    <row r="69">
      <c r="K69" s="18"/>
    </row>
    <row r="70">
      <c r="K70" s="18"/>
    </row>
    <row r="71">
      <c r="K71" s="18"/>
    </row>
    <row r="72">
      <c r="K72" s="18"/>
    </row>
    <row r="73">
      <c r="K73" s="18"/>
    </row>
    <row r="74">
      <c r="K74" s="18"/>
    </row>
    <row r="75">
      <c r="K75" s="18"/>
    </row>
    <row r="76">
      <c r="K76" s="18"/>
    </row>
    <row r="77">
      <c r="K77" s="18"/>
    </row>
    <row r="78">
      <c r="K78" s="18"/>
    </row>
    <row r="79">
      <c r="K79" s="18"/>
    </row>
    <row r="80">
      <c r="K80" s="18"/>
    </row>
    <row r="81">
      <c r="K81" s="18"/>
    </row>
    <row r="82">
      <c r="K82" s="18"/>
    </row>
    <row r="83">
      <c r="K83" s="18"/>
    </row>
    <row r="84">
      <c r="K84" s="18"/>
    </row>
    <row r="85">
      <c r="K85" s="18"/>
    </row>
    <row r="86">
      <c r="K86" s="18"/>
    </row>
    <row r="87">
      <c r="K87" s="18"/>
    </row>
    <row r="88">
      <c r="K88" s="18"/>
    </row>
    <row r="89">
      <c r="K89" s="18"/>
    </row>
    <row r="90">
      <c r="K90" s="18"/>
    </row>
    <row r="91">
      <c r="K91" s="18"/>
    </row>
    <row r="92">
      <c r="K92" s="18"/>
    </row>
    <row r="93">
      <c r="K93" s="18"/>
    </row>
    <row r="94">
      <c r="K94" s="18"/>
    </row>
    <row r="95">
      <c r="K95" s="18"/>
    </row>
    <row r="96">
      <c r="K96" s="18"/>
    </row>
    <row r="97">
      <c r="K97" s="18"/>
    </row>
    <row r="98">
      <c r="K98" s="18"/>
    </row>
    <row r="99">
      <c r="K99" s="18"/>
    </row>
    <row r="100">
      <c r="K100" s="18"/>
    </row>
    <row r="101">
      <c r="K101" s="18"/>
    </row>
    <row r="102">
      <c r="K102" s="18"/>
    </row>
    <row r="103">
      <c r="K103" s="18"/>
    </row>
    <row r="104">
      <c r="K104" s="18"/>
    </row>
    <row r="105">
      <c r="K105" s="18"/>
    </row>
    <row r="106">
      <c r="K106" s="18"/>
    </row>
    <row r="107">
      <c r="K107" s="18"/>
    </row>
    <row r="108">
      <c r="K108" s="18"/>
    </row>
    <row r="109">
      <c r="K109" s="18"/>
    </row>
    <row r="110">
      <c r="K110" s="18"/>
    </row>
    <row r="111">
      <c r="K111" s="18"/>
    </row>
    <row r="112">
      <c r="K112" s="18"/>
    </row>
    <row r="113">
      <c r="K113" s="18"/>
    </row>
    <row r="114">
      <c r="K114" s="18"/>
    </row>
    <row r="115">
      <c r="K115" s="18"/>
    </row>
    <row r="116">
      <c r="K116" s="18"/>
    </row>
    <row r="117">
      <c r="K117" s="18"/>
    </row>
    <row r="118">
      <c r="K118" s="18"/>
    </row>
    <row r="119">
      <c r="K119" s="18"/>
    </row>
    <row r="120">
      <c r="K120" s="18"/>
    </row>
    <row r="121">
      <c r="K121" s="18"/>
    </row>
    <row r="122">
      <c r="K122" s="18"/>
    </row>
    <row r="123">
      <c r="K123" s="18"/>
    </row>
    <row r="124">
      <c r="K124" s="18"/>
    </row>
    <row r="125">
      <c r="K125" s="18"/>
    </row>
    <row r="126">
      <c r="K126" s="18"/>
    </row>
    <row r="127">
      <c r="K127" s="18"/>
    </row>
    <row r="128">
      <c r="K128" s="18"/>
    </row>
    <row r="129">
      <c r="K129" s="18"/>
    </row>
    <row r="130">
      <c r="K130" s="18"/>
    </row>
    <row r="131">
      <c r="K131" s="18"/>
    </row>
    <row r="132">
      <c r="K132" s="18"/>
    </row>
    <row r="133">
      <c r="K133" s="18"/>
    </row>
    <row r="134">
      <c r="K134" s="18"/>
    </row>
    <row r="135">
      <c r="K135" s="18"/>
    </row>
    <row r="136">
      <c r="K136" s="18"/>
    </row>
    <row r="137">
      <c r="K137" s="18"/>
    </row>
    <row r="138">
      <c r="K138" s="18"/>
    </row>
    <row r="139">
      <c r="K139" s="18"/>
    </row>
    <row r="140">
      <c r="K140" s="18"/>
    </row>
    <row r="141">
      <c r="K141" s="18"/>
    </row>
    <row r="142">
      <c r="K142" s="18"/>
    </row>
    <row r="143">
      <c r="K143" s="18"/>
    </row>
    <row r="144">
      <c r="K144" s="18"/>
    </row>
    <row r="145">
      <c r="K145" s="18"/>
    </row>
    <row r="146">
      <c r="K146" s="18"/>
    </row>
    <row r="147">
      <c r="K147" s="18"/>
    </row>
    <row r="148">
      <c r="K148" s="18"/>
    </row>
    <row r="149">
      <c r="K149" s="18"/>
    </row>
    <row r="150">
      <c r="K150" s="18"/>
    </row>
    <row r="151">
      <c r="K151" s="18"/>
    </row>
    <row r="152">
      <c r="K152" s="18"/>
    </row>
    <row r="153">
      <c r="K153" s="18"/>
    </row>
    <row r="154">
      <c r="K154" s="18"/>
    </row>
    <row r="155">
      <c r="K155" s="18"/>
    </row>
    <row r="156">
      <c r="K156" s="18"/>
    </row>
    <row r="157">
      <c r="K157" s="18"/>
    </row>
    <row r="158">
      <c r="K158" s="18"/>
    </row>
    <row r="159">
      <c r="K159" s="18"/>
    </row>
    <row r="160">
      <c r="K160" s="18"/>
    </row>
    <row r="161">
      <c r="K161" s="18"/>
    </row>
    <row r="162">
      <c r="K162" s="18"/>
    </row>
    <row r="163">
      <c r="K163" s="18"/>
    </row>
    <row r="164">
      <c r="K164" s="18"/>
    </row>
    <row r="165">
      <c r="K165" s="18"/>
    </row>
    <row r="166">
      <c r="K166" s="18"/>
    </row>
    <row r="167">
      <c r="K167" s="18"/>
    </row>
    <row r="168">
      <c r="K168" s="18"/>
    </row>
    <row r="169">
      <c r="K169" s="18"/>
    </row>
    <row r="170">
      <c r="K170" s="18"/>
    </row>
    <row r="171">
      <c r="K171" s="18"/>
    </row>
    <row r="172">
      <c r="K172" s="18"/>
    </row>
    <row r="173">
      <c r="K173" s="18"/>
    </row>
    <row r="174">
      <c r="K174" s="18"/>
    </row>
    <row r="175">
      <c r="K175" s="18"/>
    </row>
    <row r="176">
      <c r="K176" s="18"/>
    </row>
    <row r="177">
      <c r="K177" s="18"/>
    </row>
    <row r="178">
      <c r="K178" s="18"/>
    </row>
    <row r="179">
      <c r="K179" s="18"/>
    </row>
    <row r="180">
      <c r="K180" s="18"/>
    </row>
    <row r="181">
      <c r="K181" s="18"/>
    </row>
    <row r="182">
      <c r="K182" s="18"/>
    </row>
    <row r="183">
      <c r="K183" s="18"/>
    </row>
    <row r="184">
      <c r="K184" s="18"/>
    </row>
    <row r="185">
      <c r="K185" s="18"/>
    </row>
    <row r="186">
      <c r="K186" s="18"/>
    </row>
    <row r="187">
      <c r="K187" s="18"/>
    </row>
    <row r="188">
      <c r="K188" s="18"/>
    </row>
    <row r="189">
      <c r="K189" s="18"/>
    </row>
    <row r="190">
      <c r="K190" s="18"/>
    </row>
    <row r="191">
      <c r="K191" s="18"/>
    </row>
    <row r="192">
      <c r="K192" s="18"/>
    </row>
    <row r="193">
      <c r="K193" s="18"/>
    </row>
    <row r="194">
      <c r="K194" s="18"/>
    </row>
    <row r="195">
      <c r="K195" s="18"/>
    </row>
    <row r="196">
      <c r="K196" s="18"/>
    </row>
    <row r="197">
      <c r="K197" s="18"/>
    </row>
    <row r="198">
      <c r="K198" s="18"/>
    </row>
    <row r="199">
      <c r="K199" s="18"/>
    </row>
    <row r="200">
      <c r="K200" s="18"/>
    </row>
    <row r="201">
      <c r="K201" s="18"/>
    </row>
    <row r="202">
      <c r="K202" s="18"/>
    </row>
    <row r="203">
      <c r="K203" s="18"/>
    </row>
    <row r="204">
      <c r="K204" s="18"/>
    </row>
    <row r="205">
      <c r="K205" s="18"/>
    </row>
    <row r="206">
      <c r="K206" s="18"/>
    </row>
    <row r="207">
      <c r="K207" s="18"/>
    </row>
    <row r="208">
      <c r="K208" s="18"/>
    </row>
    <row r="209">
      <c r="K209" s="18"/>
    </row>
    <row r="210">
      <c r="K210" s="18"/>
    </row>
    <row r="211">
      <c r="K211" s="18"/>
    </row>
    <row r="212">
      <c r="K212" s="18"/>
    </row>
    <row r="213">
      <c r="K213" s="18"/>
    </row>
    <row r="214">
      <c r="K214" s="18"/>
    </row>
    <row r="215">
      <c r="K215" s="18"/>
    </row>
    <row r="216">
      <c r="K216" s="18"/>
    </row>
    <row r="217">
      <c r="K217" s="18"/>
    </row>
    <row r="218">
      <c r="K218" s="18"/>
    </row>
    <row r="219">
      <c r="K219" s="18"/>
    </row>
    <row r="220">
      <c r="K220" s="18"/>
    </row>
    <row r="221">
      <c r="K221" s="18"/>
    </row>
    <row r="222">
      <c r="K222" s="18"/>
    </row>
    <row r="223">
      <c r="K223" s="18"/>
    </row>
    <row r="224">
      <c r="K224" s="18"/>
    </row>
    <row r="225">
      <c r="K225" s="18"/>
    </row>
    <row r="226">
      <c r="K226" s="18"/>
    </row>
    <row r="227">
      <c r="K227" s="18"/>
    </row>
    <row r="228">
      <c r="K228" s="18"/>
    </row>
    <row r="229">
      <c r="K229" s="18"/>
    </row>
    <row r="230">
      <c r="K230" s="18"/>
    </row>
    <row r="231">
      <c r="K231" s="18"/>
    </row>
    <row r="232">
      <c r="K232" s="18"/>
    </row>
    <row r="233">
      <c r="K233" s="18"/>
    </row>
    <row r="234">
      <c r="K234" s="18"/>
    </row>
    <row r="235">
      <c r="K235" s="18"/>
    </row>
    <row r="236">
      <c r="K236" s="18"/>
    </row>
    <row r="237">
      <c r="K237" s="18"/>
    </row>
    <row r="238">
      <c r="K238" s="18"/>
    </row>
    <row r="239">
      <c r="K239" s="18"/>
    </row>
    <row r="240">
      <c r="K240" s="18"/>
    </row>
    <row r="241">
      <c r="K241" s="18"/>
    </row>
    <row r="242">
      <c r="K242" s="18"/>
    </row>
    <row r="243">
      <c r="K243" s="18"/>
    </row>
    <row r="244">
      <c r="K244" s="18"/>
    </row>
    <row r="245">
      <c r="K245" s="18"/>
    </row>
    <row r="246">
      <c r="K246" s="18"/>
    </row>
    <row r="247">
      <c r="K247" s="18"/>
    </row>
    <row r="248">
      <c r="K248" s="18"/>
    </row>
    <row r="249">
      <c r="K249" s="18"/>
    </row>
    <row r="250">
      <c r="K250" s="18"/>
    </row>
    <row r="251">
      <c r="K251" s="18"/>
    </row>
    <row r="252">
      <c r="K252" s="18"/>
    </row>
    <row r="253">
      <c r="K253" s="18"/>
    </row>
    <row r="254">
      <c r="K254" s="18"/>
    </row>
    <row r="255">
      <c r="K255" s="18"/>
    </row>
    <row r="256">
      <c r="K256" s="18"/>
    </row>
    <row r="257">
      <c r="K257" s="18"/>
    </row>
    <row r="258">
      <c r="K258" s="18"/>
    </row>
    <row r="259">
      <c r="K259" s="18"/>
    </row>
    <row r="260">
      <c r="K260" s="18"/>
    </row>
    <row r="261">
      <c r="K261" s="18"/>
    </row>
    <row r="262">
      <c r="K262" s="18"/>
    </row>
    <row r="263">
      <c r="K263" s="18"/>
    </row>
    <row r="264">
      <c r="K264" s="18"/>
    </row>
    <row r="265">
      <c r="K265" s="18"/>
    </row>
    <row r="266">
      <c r="K266" s="18"/>
    </row>
    <row r="267">
      <c r="K267" s="18"/>
    </row>
    <row r="268">
      <c r="K268" s="18"/>
    </row>
    <row r="269">
      <c r="K269" s="18"/>
    </row>
    <row r="270">
      <c r="K270" s="18"/>
    </row>
    <row r="271">
      <c r="K271" s="18"/>
    </row>
    <row r="272">
      <c r="K272" s="18"/>
    </row>
    <row r="273">
      <c r="K273" s="18"/>
    </row>
    <row r="274">
      <c r="K274" s="18"/>
    </row>
    <row r="275">
      <c r="K275" s="18"/>
    </row>
    <row r="276">
      <c r="K276" s="18"/>
    </row>
    <row r="277">
      <c r="K277" s="18"/>
    </row>
    <row r="278">
      <c r="K278" s="18"/>
    </row>
    <row r="279">
      <c r="K279" s="18"/>
    </row>
    <row r="280">
      <c r="K280" s="18"/>
    </row>
    <row r="281">
      <c r="K281" s="18"/>
    </row>
    <row r="282">
      <c r="K282" s="18"/>
    </row>
    <row r="283">
      <c r="K283" s="18"/>
    </row>
    <row r="284">
      <c r="K284" s="18"/>
    </row>
    <row r="285">
      <c r="K285" s="18"/>
    </row>
    <row r="286">
      <c r="K286" s="18"/>
    </row>
    <row r="287">
      <c r="K287" s="18"/>
    </row>
    <row r="288">
      <c r="K288" s="18"/>
    </row>
    <row r="289">
      <c r="K289" s="18"/>
    </row>
    <row r="290">
      <c r="K290" s="18"/>
    </row>
    <row r="291">
      <c r="K291" s="18"/>
    </row>
    <row r="292">
      <c r="K292" s="18"/>
    </row>
    <row r="293">
      <c r="K293" s="18"/>
    </row>
    <row r="294">
      <c r="K294" s="18"/>
    </row>
    <row r="295">
      <c r="K295" s="18"/>
    </row>
    <row r="296">
      <c r="K296" s="18"/>
    </row>
    <row r="297">
      <c r="K297" s="18"/>
    </row>
    <row r="298">
      <c r="K298" s="18"/>
    </row>
    <row r="299">
      <c r="K299" s="18"/>
    </row>
    <row r="300">
      <c r="K300" s="18"/>
    </row>
    <row r="301">
      <c r="K301" s="18"/>
    </row>
    <row r="302">
      <c r="K302" s="18"/>
    </row>
    <row r="303">
      <c r="K303" s="18"/>
    </row>
    <row r="304">
      <c r="K304" s="18"/>
    </row>
    <row r="305">
      <c r="K305" s="18"/>
    </row>
    <row r="306">
      <c r="K306" s="18"/>
    </row>
    <row r="307">
      <c r="K307" s="18"/>
    </row>
    <row r="308">
      <c r="K308" s="18"/>
    </row>
    <row r="309">
      <c r="K309" s="18"/>
    </row>
    <row r="310">
      <c r="K310" s="18"/>
    </row>
    <row r="311">
      <c r="K311" s="18"/>
    </row>
    <row r="312">
      <c r="K312" s="18"/>
    </row>
    <row r="313">
      <c r="K313" s="18"/>
    </row>
    <row r="314">
      <c r="K314" s="18"/>
    </row>
    <row r="315">
      <c r="K315" s="18"/>
    </row>
    <row r="316">
      <c r="K316" s="18"/>
    </row>
    <row r="317">
      <c r="K317" s="18"/>
    </row>
    <row r="318">
      <c r="K318" s="18"/>
    </row>
    <row r="319">
      <c r="K319" s="18"/>
    </row>
    <row r="320">
      <c r="K320" s="18"/>
    </row>
    <row r="321">
      <c r="K321" s="18"/>
    </row>
    <row r="322">
      <c r="K322" s="18"/>
    </row>
    <row r="323">
      <c r="K323" s="18"/>
    </row>
    <row r="324">
      <c r="K324" s="18"/>
    </row>
    <row r="325">
      <c r="K325" s="18"/>
    </row>
    <row r="326">
      <c r="K326" s="18"/>
    </row>
    <row r="327">
      <c r="K327" s="18"/>
    </row>
    <row r="328">
      <c r="K328" s="18"/>
    </row>
    <row r="329">
      <c r="K329" s="18"/>
    </row>
    <row r="330">
      <c r="K330" s="18"/>
    </row>
    <row r="331">
      <c r="K331" s="18"/>
    </row>
    <row r="332">
      <c r="K332" s="18"/>
    </row>
    <row r="333">
      <c r="K333" s="18"/>
    </row>
    <row r="334">
      <c r="K334" s="18"/>
    </row>
    <row r="335">
      <c r="K335" s="18"/>
    </row>
    <row r="336">
      <c r="K336" s="18"/>
    </row>
    <row r="337">
      <c r="K337" s="18"/>
    </row>
    <row r="338">
      <c r="K338" s="18"/>
    </row>
    <row r="339">
      <c r="K339" s="18"/>
    </row>
    <row r="340">
      <c r="K340" s="18"/>
    </row>
    <row r="341">
      <c r="K341" s="18"/>
    </row>
    <row r="342">
      <c r="K342" s="18"/>
    </row>
    <row r="343">
      <c r="K343" s="18"/>
    </row>
    <row r="344">
      <c r="K344" s="18"/>
    </row>
    <row r="345">
      <c r="K345" s="18"/>
    </row>
    <row r="346">
      <c r="K346" s="18"/>
    </row>
    <row r="347">
      <c r="K347" s="18"/>
    </row>
    <row r="348">
      <c r="K348" s="18"/>
    </row>
    <row r="349">
      <c r="K349" s="18"/>
    </row>
    <row r="350">
      <c r="K350" s="18"/>
    </row>
    <row r="351">
      <c r="K351" s="18"/>
    </row>
    <row r="352">
      <c r="K352" s="18"/>
    </row>
    <row r="353">
      <c r="K353" s="18"/>
    </row>
    <row r="354">
      <c r="K354" s="18"/>
    </row>
    <row r="355">
      <c r="K355" s="18"/>
    </row>
    <row r="356">
      <c r="K356" s="18"/>
    </row>
    <row r="357">
      <c r="K357" s="18"/>
    </row>
    <row r="358">
      <c r="K358" s="18"/>
    </row>
    <row r="359">
      <c r="K359" s="18"/>
    </row>
    <row r="360">
      <c r="K360" s="18"/>
    </row>
    <row r="361">
      <c r="K361" s="18"/>
    </row>
    <row r="362">
      <c r="K362" s="18"/>
    </row>
    <row r="363">
      <c r="K363" s="18"/>
    </row>
    <row r="364">
      <c r="K364" s="18"/>
    </row>
    <row r="365">
      <c r="K365" s="18"/>
    </row>
    <row r="366">
      <c r="K366" s="18"/>
    </row>
    <row r="367">
      <c r="K367" s="18"/>
    </row>
    <row r="368">
      <c r="K368" s="18"/>
    </row>
    <row r="369">
      <c r="K369" s="18"/>
    </row>
    <row r="370">
      <c r="K370" s="18"/>
    </row>
    <row r="371">
      <c r="K371" s="18"/>
    </row>
    <row r="372">
      <c r="K372" s="18"/>
    </row>
    <row r="373">
      <c r="K373" s="18"/>
    </row>
    <row r="374">
      <c r="K374" s="18"/>
    </row>
    <row r="375">
      <c r="K375" s="18"/>
    </row>
    <row r="376">
      <c r="K376" s="18"/>
    </row>
    <row r="377">
      <c r="K377" s="18"/>
    </row>
    <row r="378">
      <c r="K378" s="18"/>
    </row>
    <row r="379">
      <c r="K379" s="18"/>
    </row>
    <row r="380">
      <c r="K380" s="18"/>
    </row>
    <row r="381">
      <c r="K381" s="18"/>
    </row>
    <row r="382">
      <c r="K382" s="18"/>
    </row>
    <row r="383">
      <c r="K383" s="18"/>
    </row>
    <row r="384">
      <c r="K384" s="18"/>
    </row>
    <row r="385">
      <c r="K385" s="18"/>
    </row>
    <row r="386">
      <c r="K386" s="18"/>
    </row>
    <row r="387">
      <c r="K387" s="18"/>
    </row>
    <row r="388">
      <c r="K388" s="18"/>
    </row>
    <row r="389">
      <c r="K389" s="18"/>
    </row>
    <row r="390">
      <c r="K390" s="18"/>
    </row>
    <row r="391">
      <c r="K391" s="18"/>
    </row>
    <row r="392">
      <c r="K392" s="18"/>
    </row>
    <row r="393">
      <c r="K393" s="18"/>
    </row>
    <row r="394">
      <c r="K394" s="18"/>
    </row>
    <row r="395">
      <c r="K395" s="18"/>
    </row>
    <row r="396">
      <c r="K396" s="18"/>
    </row>
    <row r="397">
      <c r="K397" s="18"/>
    </row>
    <row r="398">
      <c r="K398" s="18"/>
    </row>
    <row r="399">
      <c r="K399" s="18"/>
    </row>
    <row r="400">
      <c r="K400" s="18"/>
    </row>
    <row r="401">
      <c r="K401" s="18"/>
    </row>
    <row r="402">
      <c r="K402" s="18"/>
    </row>
    <row r="403">
      <c r="K403" s="18"/>
    </row>
    <row r="404">
      <c r="K404" s="18"/>
    </row>
    <row r="405">
      <c r="K405" s="18"/>
    </row>
    <row r="406">
      <c r="K406" s="18"/>
    </row>
    <row r="407">
      <c r="K407" s="18"/>
    </row>
    <row r="408">
      <c r="K408" s="18"/>
    </row>
    <row r="409">
      <c r="K409" s="18"/>
    </row>
    <row r="410">
      <c r="K410" s="18"/>
    </row>
    <row r="411">
      <c r="K411" s="18"/>
    </row>
    <row r="412">
      <c r="K412" s="18"/>
    </row>
    <row r="413">
      <c r="K413" s="18"/>
    </row>
    <row r="414">
      <c r="K414" s="18"/>
    </row>
    <row r="415">
      <c r="K415" s="18"/>
    </row>
    <row r="416">
      <c r="K416" s="18"/>
    </row>
    <row r="417">
      <c r="K417" s="18"/>
    </row>
    <row r="418">
      <c r="K418" s="18"/>
    </row>
    <row r="419">
      <c r="K419" s="18"/>
    </row>
    <row r="420">
      <c r="K420" s="18"/>
    </row>
    <row r="421">
      <c r="K421" s="18"/>
    </row>
    <row r="422">
      <c r="K422" s="18"/>
    </row>
    <row r="423">
      <c r="K423" s="18"/>
    </row>
    <row r="424">
      <c r="K424" s="18"/>
    </row>
    <row r="425">
      <c r="K425" s="18"/>
    </row>
    <row r="426">
      <c r="K426" s="18"/>
    </row>
    <row r="427">
      <c r="K427" s="18"/>
    </row>
    <row r="428">
      <c r="K428" s="18"/>
    </row>
    <row r="429">
      <c r="K429" s="18"/>
    </row>
    <row r="430">
      <c r="K430" s="18"/>
    </row>
    <row r="431">
      <c r="K431" s="18"/>
    </row>
    <row r="432">
      <c r="K432" s="18"/>
    </row>
    <row r="433">
      <c r="K433" s="18"/>
    </row>
    <row r="434">
      <c r="K434" s="18"/>
    </row>
    <row r="435">
      <c r="K435" s="18"/>
    </row>
    <row r="436">
      <c r="K436" s="18"/>
    </row>
    <row r="437">
      <c r="K437" s="18"/>
    </row>
    <row r="438">
      <c r="K438" s="18"/>
    </row>
    <row r="439">
      <c r="K439" s="18"/>
    </row>
    <row r="440">
      <c r="K440" s="18"/>
    </row>
    <row r="441">
      <c r="K441" s="18"/>
    </row>
    <row r="442">
      <c r="K442" s="18"/>
    </row>
    <row r="443">
      <c r="K443" s="18"/>
    </row>
    <row r="444">
      <c r="K444" s="18"/>
    </row>
    <row r="445">
      <c r="K445" s="18"/>
    </row>
    <row r="446">
      <c r="K446" s="18"/>
    </row>
    <row r="447">
      <c r="K447" s="18"/>
    </row>
    <row r="448">
      <c r="K448" s="18"/>
    </row>
    <row r="449">
      <c r="K449" s="18"/>
    </row>
    <row r="450">
      <c r="K450" s="18"/>
    </row>
    <row r="451">
      <c r="K451" s="18"/>
    </row>
    <row r="452">
      <c r="K452" s="18"/>
    </row>
    <row r="453">
      <c r="K453" s="18"/>
    </row>
    <row r="454">
      <c r="K454" s="18"/>
    </row>
    <row r="455">
      <c r="K455" s="18"/>
    </row>
    <row r="456">
      <c r="K456" s="18"/>
    </row>
    <row r="457">
      <c r="K457" s="18"/>
    </row>
    <row r="458">
      <c r="K458" s="18"/>
    </row>
    <row r="459">
      <c r="K459" s="18"/>
    </row>
    <row r="460">
      <c r="K460" s="18"/>
    </row>
    <row r="461">
      <c r="K461" s="18"/>
    </row>
    <row r="462">
      <c r="K462" s="18"/>
    </row>
    <row r="463">
      <c r="K463" s="18"/>
    </row>
    <row r="464">
      <c r="K464" s="18"/>
    </row>
    <row r="465">
      <c r="K465" s="18"/>
    </row>
    <row r="466">
      <c r="K466" s="18"/>
    </row>
    <row r="467">
      <c r="K467" s="18"/>
    </row>
    <row r="468">
      <c r="K468" s="18"/>
    </row>
    <row r="469">
      <c r="K469" s="18"/>
    </row>
    <row r="470">
      <c r="K470" s="18"/>
    </row>
    <row r="471">
      <c r="K471" s="18"/>
    </row>
    <row r="472">
      <c r="K472" s="18"/>
    </row>
    <row r="473">
      <c r="K473" s="18"/>
    </row>
    <row r="474">
      <c r="K474" s="18"/>
    </row>
    <row r="475">
      <c r="K475" s="18"/>
    </row>
    <row r="476">
      <c r="K476" s="18"/>
    </row>
    <row r="477">
      <c r="K477" s="18"/>
    </row>
    <row r="478">
      <c r="K478" s="18"/>
    </row>
    <row r="479">
      <c r="K479" s="18"/>
    </row>
    <row r="480">
      <c r="K480" s="18"/>
    </row>
    <row r="481">
      <c r="K481" s="18"/>
    </row>
    <row r="482">
      <c r="K482" s="18"/>
    </row>
    <row r="483">
      <c r="K483" s="18"/>
    </row>
    <row r="484">
      <c r="K484" s="18"/>
    </row>
    <row r="485">
      <c r="K485" s="18"/>
    </row>
    <row r="486">
      <c r="K486" s="18"/>
    </row>
    <row r="487">
      <c r="K487" s="18"/>
    </row>
    <row r="488">
      <c r="K488" s="18"/>
    </row>
    <row r="489">
      <c r="K489" s="18"/>
    </row>
    <row r="490">
      <c r="K490" s="18"/>
    </row>
    <row r="491">
      <c r="K491" s="18"/>
    </row>
    <row r="492">
      <c r="K492" s="18"/>
    </row>
    <row r="493">
      <c r="K493" s="18"/>
    </row>
    <row r="494">
      <c r="K494" s="18"/>
    </row>
    <row r="495">
      <c r="K495" s="18"/>
    </row>
    <row r="496">
      <c r="K496" s="18"/>
    </row>
    <row r="497">
      <c r="K497" s="18"/>
    </row>
    <row r="498">
      <c r="K498" s="18"/>
    </row>
    <row r="499">
      <c r="K499" s="18"/>
    </row>
    <row r="500">
      <c r="K500" s="18"/>
    </row>
    <row r="501">
      <c r="K501" s="18"/>
    </row>
    <row r="502">
      <c r="K502" s="18"/>
    </row>
    <row r="503">
      <c r="K503" s="18"/>
    </row>
    <row r="504">
      <c r="K504" s="18"/>
    </row>
    <row r="505">
      <c r="K505" s="18"/>
    </row>
    <row r="506">
      <c r="K506" s="18"/>
    </row>
    <row r="507">
      <c r="K507" s="18"/>
    </row>
    <row r="508">
      <c r="K508" s="18"/>
    </row>
    <row r="509">
      <c r="K509" s="18"/>
    </row>
    <row r="510">
      <c r="K510" s="18"/>
    </row>
    <row r="511">
      <c r="K511" s="18"/>
    </row>
    <row r="512">
      <c r="K512" s="18"/>
    </row>
    <row r="513">
      <c r="K513" s="18"/>
    </row>
    <row r="514">
      <c r="K514" s="18"/>
    </row>
    <row r="515">
      <c r="K515" s="18"/>
    </row>
    <row r="516">
      <c r="K516" s="18"/>
    </row>
    <row r="517">
      <c r="K517" s="18"/>
    </row>
    <row r="518">
      <c r="K518" s="18"/>
    </row>
    <row r="519">
      <c r="K519" s="18"/>
    </row>
    <row r="520">
      <c r="K520" s="18"/>
    </row>
    <row r="521">
      <c r="K521" s="18"/>
    </row>
    <row r="522">
      <c r="K522" s="18"/>
    </row>
    <row r="523">
      <c r="K523" s="18"/>
    </row>
    <row r="524">
      <c r="K524" s="18"/>
    </row>
    <row r="525">
      <c r="K525" s="18"/>
    </row>
    <row r="526">
      <c r="K526" s="18"/>
    </row>
    <row r="527">
      <c r="K527" s="18"/>
    </row>
    <row r="528">
      <c r="K528" s="18"/>
    </row>
    <row r="529">
      <c r="K529" s="18"/>
    </row>
    <row r="530">
      <c r="K530" s="18"/>
    </row>
    <row r="531">
      <c r="K531" s="18"/>
    </row>
    <row r="532">
      <c r="K532" s="18"/>
    </row>
    <row r="533">
      <c r="K533" s="18"/>
    </row>
    <row r="534">
      <c r="K534" s="18"/>
    </row>
    <row r="535">
      <c r="K535" s="18"/>
    </row>
    <row r="536">
      <c r="K536" s="18"/>
    </row>
    <row r="537">
      <c r="K537" s="18"/>
    </row>
    <row r="538">
      <c r="K538" s="18"/>
    </row>
    <row r="539">
      <c r="K539" s="18"/>
    </row>
    <row r="540">
      <c r="K540" s="18"/>
    </row>
    <row r="541">
      <c r="K541" s="18"/>
    </row>
    <row r="542">
      <c r="K542" s="18"/>
    </row>
    <row r="543">
      <c r="K543" s="18"/>
    </row>
    <row r="544">
      <c r="K544" s="18"/>
    </row>
    <row r="545">
      <c r="K545" s="18"/>
    </row>
    <row r="546">
      <c r="K546" s="18"/>
    </row>
    <row r="547">
      <c r="K547" s="18"/>
    </row>
    <row r="548">
      <c r="K548" s="18"/>
    </row>
    <row r="549">
      <c r="K549" s="18"/>
    </row>
    <row r="550">
      <c r="K550" s="18"/>
    </row>
    <row r="551">
      <c r="K551" s="18"/>
    </row>
    <row r="552">
      <c r="K552" s="18"/>
    </row>
    <row r="553">
      <c r="K553" s="18"/>
    </row>
    <row r="554">
      <c r="K554" s="18"/>
    </row>
    <row r="555">
      <c r="K555" s="18"/>
    </row>
    <row r="556">
      <c r="K556" s="18"/>
    </row>
    <row r="557">
      <c r="K557" s="18"/>
    </row>
    <row r="558">
      <c r="K558" s="18"/>
    </row>
    <row r="559">
      <c r="K559" s="18"/>
    </row>
    <row r="560">
      <c r="K560" s="18"/>
    </row>
    <row r="561">
      <c r="K561" s="18"/>
    </row>
    <row r="562">
      <c r="K562" s="18"/>
    </row>
    <row r="563">
      <c r="K563" s="18"/>
    </row>
    <row r="564">
      <c r="K564" s="18"/>
    </row>
    <row r="565">
      <c r="K565" s="18"/>
    </row>
    <row r="566">
      <c r="K566" s="18"/>
    </row>
    <row r="567">
      <c r="K567" s="18"/>
    </row>
    <row r="568">
      <c r="K568" s="18"/>
    </row>
    <row r="569">
      <c r="K569" s="18"/>
    </row>
    <row r="570">
      <c r="K570" s="18"/>
    </row>
    <row r="571">
      <c r="K571" s="18"/>
    </row>
    <row r="572">
      <c r="K572" s="18"/>
    </row>
    <row r="573">
      <c r="K573" s="18"/>
    </row>
    <row r="574">
      <c r="K574" s="18"/>
    </row>
    <row r="575">
      <c r="K575" s="18"/>
    </row>
    <row r="576">
      <c r="K576" s="18"/>
    </row>
    <row r="577">
      <c r="K577" s="18"/>
    </row>
    <row r="578">
      <c r="K578" s="18"/>
    </row>
    <row r="579">
      <c r="K579" s="18"/>
    </row>
    <row r="580">
      <c r="K580" s="18"/>
    </row>
    <row r="581">
      <c r="K581" s="18"/>
    </row>
    <row r="582">
      <c r="K582" s="18"/>
    </row>
    <row r="583">
      <c r="K583" s="18"/>
    </row>
    <row r="584">
      <c r="K584" s="18"/>
    </row>
    <row r="585">
      <c r="K585" s="18"/>
    </row>
    <row r="586">
      <c r="K586" s="18"/>
    </row>
    <row r="587">
      <c r="K587" s="18"/>
    </row>
    <row r="588">
      <c r="K588" s="18"/>
    </row>
    <row r="589">
      <c r="K589" s="18"/>
    </row>
    <row r="590">
      <c r="K590" s="18"/>
    </row>
    <row r="591">
      <c r="K591" s="18"/>
    </row>
    <row r="592">
      <c r="K592" s="18"/>
    </row>
    <row r="593">
      <c r="K593" s="18"/>
    </row>
    <row r="594">
      <c r="K594" s="18"/>
    </row>
    <row r="595">
      <c r="K595" s="18"/>
    </row>
    <row r="596">
      <c r="K596" s="18"/>
    </row>
    <row r="597">
      <c r="K597" s="18"/>
    </row>
    <row r="598">
      <c r="K598" s="18"/>
    </row>
    <row r="599">
      <c r="K599" s="18"/>
    </row>
    <row r="600">
      <c r="K600" s="18"/>
    </row>
    <row r="601">
      <c r="K601" s="18"/>
    </row>
    <row r="602">
      <c r="K602" s="18"/>
    </row>
    <row r="603">
      <c r="K603" s="18"/>
    </row>
    <row r="604">
      <c r="K604" s="18"/>
    </row>
    <row r="605">
      <c r="K605" s="18"/>
    </row>
    <row r="606">
      <c r="K606" s="18"/>
    </row>
    <row r="607">
      <c r="K607" s="18"/>
    </row>
    <row r="608">
      <c r="K608" s="18"/>
    </row>
    <row r="609">
      <c r="K609" s="18"/>
    </row>
    <row r="610">
      <c r="K610" s="18"/>
    </row>
    <row r="611">
      <c r="K611" s="18"/>
    </row>
    <row r="612">
      <c r="K612" s="18"/>
    </row>
    <row r="613">
      <c r="K613" s="18"/>
    </row>
    <row r="614">
      <c r="K614" s="18"/>
    </row>
    <row r="615">
      <c r="K615" s="18"/>
    </row>
    <row r="616">
      <c r="K616" s="18"/>
    </row>
    <row r="617">
      <c r="K617" s="18"/>
    </row>
    <row r="618">
      <c r="K618" s="18"/>
    </row>
    <row r="619">
      <c r="K619" s="18"/>
    </row>
    <row r="620">
      <c r="K620" s="18"/>
    </row>
    <row r="621">
      <c r="K621" s="18"/>
    </row>
    <row r="622">
      <c r="K622" s="18"/>
    </row>
    <row r="623">
      <c r="K623" s="18"/>
    </row>
    <row r="624">
      <c r="K624" s="18"/>
    </row>
    <row r="625">
      <c r="K625" s="18"/>
    </row>
    <row r="626">
      <c r="K626" s="18"/>
    </row>
    <row r="627">
      <c r="K627" s="18"/>
    </row>
    <row r="628">
      <c r="K628" s="18"/>
    </row>
    <row r="629">
      <c r="K629" s="18"/>
    </row>
    <row r="630">
      <c r="K630" s="18"/>
    </row>
    <row r="631">
      <c r="K631" s="18"/>
    </row>
    <row r="632">
      <c r="K632" s="18"/>
    </row>
    <row r="633">
      <c r="K633" s="18"/>
    </row>
    <row r="634">
      <c r="K634" s="18"/>
    </row>
    <row r="635">
      <c r="K635" s="18"/>
    </row>
    <row r="636">
      <c r="K636" s="18"/>
    </row>
    <row r="637">
      <c r="K637" s="18"/>
    </row>
    <row r="638">
      <c r="K638" s="18"/>
    </row>
    <row r="639">
      <c r="K639" s="18"/>
    </row>
    <row r="640">
      <c r="K640" s="18"/>
    </row>
    <row r="641">
      <c r="K641" s="18"/>
    </row>
    <row r="642">
      <c r="K642" s="18"/>
    </row>
    <row r="643">
      <c r="K643" s="18"/>
    </row>
    <row r="644">
      <c r="K644" s="18"/>
    </row>
    <row r="645">
      <c r="K645" s="18"/>
    </row>
    <row r="646">
      <c r="K646" s="18"/>
    </row>
    <row r="647">
      <c r="K647" s="18"/>
    </row>
    <row r="648">
      <c r="K648" s="18"/>
    </row>
    <row r="649">
      <c r="K649" s="18"/>
    </row>
    <row r="650">
      <c r="K650" s="18"/>
    </row>
    <row r="651">
      <c r="K651" s="18"/>
    </row>
    <row r="652">
      <c r="K652" s="18"/>
    </row>
    <row r="653">
      <c r="K653" s="18"/>
    </row>
    <row r="654">
      <c r="K654" s="18"/>
    </row>
    <row r="655">
      <c r="K655" s="18"/>
    </row>
    <row r="656">
      <c r="K656" s="18"/>
    </row>
    <row r="657">
      <c r="K657" s="18"/>
    </row>
    <row r="658">
      <c r="K658" s="18"/>
    </row>
    <row r="659">
      <c r="K659" s="18"/>
    </row>
    <row r="660">
      <c r="K660" s="18"/>
    </row>
    <row r="661">
      <c r="K661" s="18"/>
    </row>
    <row r="662">
      <c r="K662" s="18"/>
    </row>
    <row r="663">
      <c r="K663" s="18"/>
    </row>
    <row r="664">
      <c r="K664" s="18"/>
    </row>
    <row r="665">
      <c r="K665" s="18"/>
    </row>
    <row r="666">
      <c r="K666" s="18"/>
    </row>
    <row r="667">
      <c r="K667" s="18"/>
    </row>
    <row r="668">
      <c r="K668" s="18"/>
    </row>
    <row r="669">
      <c r="K669" s="18"/>
    </row>
    <row r="670">
      <c r="K670" s="18"/>
    </row>
    <row r="671">
      <c r="K671" s="18"/>
    </row>
    <row r="672">
      <c r="K672" s="18"/>
    </row>
    <row r="673">
      <c r="K673" s="18"/>
    </row>
    <row r="674">
      <c r="K674" s="18"/>
    </row>
    <row r="675">
      <c r="K675" s="18"/>
    </row>
    <row r="676">
      <c r="K676" s="18"/>
    </row>
    <row r="677">
      <c r="K677" s="18"/>
    </row>
    <row r="678">
      <c r="K678" s="18"/>
    </row>
    <row r="679">
      <c r="K679" s="18"/>
    </row>
    <row r="680">
      <c r="K680" s="18"/>
    </row>
    <row r="681">
      <c r="K681" s="18"/>
    </row>
    <row r="682">
      <c r="K682" s="18"/>
    </row>
    <row r="683">
      <c r="K683" s="18"/>
    </row>
    <row r="684">
      <c r="K684" s="18"/>
    </row>
    <row r="685">
      <c r="K685" s="18"/>
    </row>
    <row r="686">
      <c r="K686" s="18"/>
    </row>
    <row r="687">
      <c r="K687" s="18"/>
    </row>
    <row r="688">
      <c r="K688" s="18"/>
    </row>
    <row r="689">
      <c r="K689" s="18"/>
    </row>
    <row r="690">
      <c r="K690" s="18"/>
    </row>
    <row r="691">
      <c r="K691" s="18"/>
    </row>
    <row r="692">
      <c r="K692" s="18"/>
    </row>
    <row r="693">
      <c r="K693" s="18"/>
    </row>
    <row r="694">
      <c r="K694" s="18"/>
    </row>
    <row r="695">
      <c r="K695" s="18"/>
    </row>
    <row r="696">
      <c r="K696" s="18"/>
    </row>
    <row r="697">
      <c r="K697" s="18"/>
    </row>
    <row r="698">
      <c r="K698" s="18"/>
    </row>
    <row r="699">
      <c r="K699" s="18"/>
    </row>
    <row r="700">
      <c r="K700" s="18"/>
    </row>
    <row r="701">
      <c r="K701" s="18"/>
    </row>
    <row r="702">
      <c r="K702" s="18"/>
    </row>
    <row r="703">
      <c r="K703" s="18"/>
    </row>
    <row r="704">
      <c r="K704" s="18"/>
    </row>
    <row r="705">
      <c r="K705" s="18"/>
    </row>
    <row r="706">
      <c r="K706" s="18"/>
    </row>
    <row r="707">
      <c r="K707" s="18"/>
    </row>
    <row r="708">
      <c r="K708" s="18"/>
    </row>
    <row r="709">
      <c r="K709" s="18"/>
    </row>
    <row r="710">
      <c r="K710" s="18"/>
    </row>
    <row r="711">
      <c r="K711" s="18"/>
    </row>
    <row r="712">
      <c r="K712" s="18"/>
    </row>
    <row r="713">
      <c r="K713" s="18"/>
    </row>
    <row r="714">
      <c r="K714" s="18"/>
    </row>
    <row r="715">
      <c r="K715" s="18"/>
    </row>
    <row r="716">
      <c r="K716" s="18"/>
    </row>
    <row r="717">
      <c r="K717" s="18"/>
    </row>
    <row r="718">
      <c r="K718" s="18"/>
    </row>
    <row r="719">
      <c r="K719" s="18"/>
    </row>
    <row r="720">
      <c r="K720" s="18"/>
    </row>
    <row r="721">
      <c r="K721" s="18"/>
    </row>
    <row r="722">
      <c r="K722" s="18"/>
    </row>
    <row r="723">
      <c r="K723" s="18"/>
    </row>
    <row r="724">
      <c r="K724" s="18"/>
    </row>
    <row r="725">
      <c r="K725" s="18"/>
    </row>
    <row r="726">
      <c r="K726" s="18"/>
    </row>
    <row r="727">
      <c r="K727" s="18"/>
    </row>
    <row r="728">
      <c r="K728" s="18"/>
    </row>
    <row r="729">
      <c r="K729" s="18"/>
    </row>
    <row r="730">
      <c r="K730" s="18"/>
    </row>
    <row r="731">
      <c r="K731" s="18"/>
    </row>
    <row r="732">
      <c r="K732" s="18"/>
    </row>
    <row r="733">
      <c r="K733" s="18"/>
    </row>
    <row r="734">
      <c r="K734" s="18"/>
    </row>
    <row r="735">
      <c r="K735" s="18"/>
    </row>
    <row r="736">
      <c r="K736" s="18"/>
    </row>
    <row r="737">
      <c r="K737" s="18"/>
    </row>
    <row r="738">
      <c r="K738" s="18"/>
    </row>
    <row r="739">
      <c r="K739" s="18"/>
    </row>
    <row r="740">
      <c r="K740" s="18"/>
    </row>
    <row r="741">
      <c r="K741" s="18"/>
    </row>
    <row r="742">
      <c r="K742" s="18"/>
    </row>
    <row r="743">
      <c r="K743" s="18"/>
    </row>
    <row r="744">
      <c r="K744" s="18"/>
    </row>
    <row r="745">
      <c r="K745" s="18"/>
    </row>
    <row r="746">
      <c r="K746" s="18"/>
    </row>
    <row r="747">
      <c r="K747" s="18"/>
    </row>
    <row r="748">
      <c r="K748" s="18"/>
    </row>
    <row r="749">
      <c r="K749" s="18"/>
    </row>
    <row r="750">
      <c r="K750" s="18"/>
    </row>
    <row r="751">
      <c r="K751" s="18"/>
    </row>
    <row r="752">
      <c r="K752" s="18"/>
    </row>
    <row r="753">
      <c r="K753" s="18"/>
    </row>
    <row r="754">
      <c r="K754" s="18"/>
    </row>
    <row r="755">
      <c r="K755" s="18"/>
    </row>
    <row r="756">
      <c r="K756" s="18"/>
    </row>
    <row r="757">
      <c r="K757" s="18"/>
    </row>
    <row r="758">
      <c r="K758" s="18"/>
    </row>
    <row r="759">
      <c r="K759" s="18"/>
    </row>
    <row r="760">
      <c r="K760" s="18"/>
    </row>
    <row r="761">
      <c r="K761" s="18"/>
    </row>
    <row r="762">
      <c r="K762" s="18"/>
    </row>
    <row r="763">
      <c r="K763" s="18"/>
    </row>
    <row r="764">
      <c r="K764" s="18"/>
    </row>
    <row r="765">
      <c r="K765" s="18"/>
    </row>
    <row r="766">
      <c r="K766" s="18"/>
    </row>
    <row r="767">
      <c r="K767" s="18"/>
    </row>
    <row r="768">
      <c r="K768" s="18"/>
    </row>
    <row r="769">
      <c r="K769" s="18"/>
    </row>
    <row r="770">
      <c r="K770" s="18"/>
    </row>
    <row r="771">
      <c r="K771" s="18"/>
    </row>
    <row r="772">
      <c r="K772" s="18"/>
    </row>
    <row r="773">
      <c r="K773" s="18"/>
    </row>
    <row r="774">
      <c r="K774" s="18"/>
    </row>
    <row r="775">
      <c r="K775" s="18"/>
    </row>
    <row r="776">
      <c r="K776" s="18"/>
    </row>
    <row r="777">
      <c r="K777" s="18"/>
    </row>
    <row r="778">
      <c r="K778" s="18"/>
    </row>
    <row r="779">
      <c r="K779" s="18"/>
    </row>
    <row r="780">
      <c r="K780" s="18"/>
    </row>
    <row r="781">
      <c r="K781" s="18"/>
    </row>
    <row r="782">
      <c r="K782" s="18"/>
    </row>
    <row r="783">
      <c r="K783" s="18"/>
    </row>
    <row r="784">
      <c r="K784" s="18"/>
    </row>
    <row r="785">
      <c r="K785" s="18"/>
    </row>
    <row r="786">
      <c r="K786" s="18"/>
    </row>
    <row r="787">
      <c r="K787" s="18"/>
    </row>
    <row r="788">
      <c r="K788" s="18"/>
    </row>
    <row r="789">
      <c r="K789" s="18"/>
    </row>
    <row r="790">
      <c r="K790" s="18"/>
    </row>
    <row r="791">
      <c r="K791" s="18"/>
    </row>
    <row r="792">
      <c r="K792" s="18"/>
    </row>
    <row r="793">
      <c r="K793" s="18"/>
    </row>
    <row r="794">
      <c r="K794" s="18"/>
    </row>
    <row r="795">
      <c r="K795" s="18"/>
    </row>
    <row r="796">
      <c r="K796" s="18"/>
    </row>
    <row r="797">
      <c r="K797" s="18"/>
    </row>
    <row r="798">
      <c r="K798" s="18"/>
    </row>
    <row r="799">
      <c r="K799" s="18"/>
    </row>
    <row r="800">
      <c r="K800" s="18"/>
    </row>
    <row r="801">
      <c r="K801" s="18"/>
    </row>
    <row r="802">
      <c r="K802" s="18"/>
    </row>
    <row r="803">
      <c r="K803" s="18"/>
    </row>
    <row r="804">
      <c r="K804" s="18"/>
    </row>
    <row r="805">
      <c r="K805" s="18"/>
    </row>
    <row r="806">
      <c r="K806" s="18"/>
    </row>
    <row r="807">
      <c r="K807" s="18"/>
    </row>
    <row r="808">
      <c r="K808" s="18"/>
    </row>
    <row r="809">
      <c r="K809" s="18"/>
    </row>
    <row r="810">
      <c r="K810" s="18"/>
    </row>
    <row r="811">
      <c r="K811" s="18"/>
    </row>
    <row r="812">
      <c r="K812" s="18"/>
    </row>
    <row r="813">
      <c r="K813" s="18"/>
    </row>
    <row r="814">
      <c r="K814" s="18"/>
    </row>
    <row r="815">
      <c r="K815" s="18"/>
    </row>
    <row r="816">
      <c r="K816" s="18"/>
    </row>
    <row r="817">
      <c r="K817" s="18"/>
    </row>
    <row r="818">
      <c r="K818" s="18"/>
    </row>
    <row r="819">
      <c r="K819" s="18"/>
    </row>
    <row r="820">
      <c r="K820" s="18"/>
    </row>
    <row r="821">
      <c r="K821" s="18"/>
    </row>
    <row r="822">
      <c r="K822" s="18"/>
    </row>
    <row r="823">
      <c r="K823" s="18"/>
    </row>
    <row r="824">
      <c r="K824" s="18"/>
    </row>
    <row r="825">
      <c r="K825" s="18"/>
    </row>
    <row r="826">
      <c r="K826" s="18"/>
    </row>
    <row r="827">
      <c r="K827" s="18"/>
    </row>
    <row r="828">
      <c r="K828" s="18"/>
    </row>
    <row r="829">
      <c r="K829" s="18"/>
    </row>
    <row r="830">
      <c r="K830" s="18"/>
    </row>
    <row r="831">
      <c r="K831" s="18"/>
    </row>
    <row r="832">
      <c r="K832" s="18"/>
    </row>
    <row r="833">
      <c r="K833" s="18"/>
    </row>
    <row r="834">
      <c r="K834" s="18"/>
    </row>
    <row r="835">
      <c r="K835" s="18"/>
    </row>
    <row r="836">
      <c r="K836" s="18"/>
    </row>
    <row r="837">
      <c r="K837" s="18"/>
    </row>
    <row r="838">
      <c r="K838" s="18"/>
    </row>
    <row r="839">
      <c r="K839" s="18"/>
    </row>
    <row r="840">
      <c r="K840" s="18"/>
    </row>
    <row r="841">
      <c r="K841" s="18"/>
    </row>
    <row r="842">
      <c r="K842" s="18"/>
    </row>
    <row r="843">
      <c r="K843" s="18"/>
    </row>
    <row r="844">
      <c r="K844" s="18"/>
    </row>
    <row r="845">
      <c r="K845" s="18"/>
    </row>
    <row r="846">
      <c r="K846" s="18"/>
    </row>
    <row r="847">
      <c r="K847" s="18"/>
    </row>
    <row r="848">
      <c r="K848" s="18"/>
    </row>
    <row r="849">
      <c r="K849" s="18"/>
    </row>
    <row r="850">
      <c r="K850" s="18"/>
    </row>
    <row r="851">
      <c r="K851" s="18"/>
    </row>
    <row r="852">
      <c r="K852" s="18"/>
    </row>
    <row r="853">
      <c r="K853" s="18"/>
    </row>
    <row r="854">
      <c r="K854" s="18"/>
    </row>
    <row r="855">
      <c r="K855" s="18"/>
    </row>
    <row r="856">
      <c r="K856" s="18"/>
    </row>
    <row r="857">
      <c r="K857" s="18"/>
    </row>
    <row r="858">
      <c r="K858" s="18"/>
    </row>
    <row r="859">
      <c r="K859" s="18"/>
    </row>
    <row r="860">
      <c r="K860" s="18"/>
    </row>
    <row r="861">
      <c r="K861" s="18"/>
    </row>
    <row r="862">
      <c r="K862" s="18"/>
    </row>
    <row r="863">
      <c r="K863" s="18"/>
    </row>
    <row r="864">
      <c r="K864" s="18"/>
    </row>
    <row r="865">
      <c r="K865" s="18"/>
    </row>
    <row r="866">
      <c r="K866" s="18"/>
    </row>
    <row r="867">
      <c r="K867" s="18"/>
    </row>
    <row r="868">
      <c r="K868" s="18"/>
    </row>
    <row r="869">
      <c r="K869" s="18"/>
    </row>
    <row r="870">
      <c r="K870" s="18"/>
    </row>
    <row r="871">
      <c r="K871" s="18"/>
    </row>
    <row r="872">
      <c r="K872" s="18"/>
    </row>
    <row r="873">
      <c r="K873" s="18"/>
    </row>
    <row r="874">
      <c r="K874" s="18"/>
    </row>
    <row r="875">
      <c r="K875" s="18"/>
    </row>
    <row r="876">
      <c r="K876" s="18"/>
    </row>
    <row r="877">
      <c r="K877" s="18"/>
    </row>
    <row r="878">
      <c r="K878" s="18"/>
    </row>
    <row r="879">
      <c r="K879" s="18"/>
    </row>
    <row r="880">
      <c r="K880" s="18"/>
    </row>
    <row r="881">
      <c r="K881" s="18"/>
    </row>
    <row r="882">
      <c r="K882" s="18"/>
    </row>
    <row r="883">
      <c r="K883" s="18"/>
    </row>
    <row r="884">
      <c r="K884" s="18"/>
    </row>
    <row r="885">
      <c r="K885" s="18"/>
    </row>
    <row r="886">
      <c r="K886" s="18"/>
    </row>
    <row r="887">
      <c r="K887" s="18"/>
    </row>
    <row r="888">
      <c r="K888" s="18"/>
    </row>
    <row r="889">
      <c r="K889" s="18"/>
    </row>
    <row r="890">
      <c r="K890" s="18"/>
    </row>
    <row r="891">
      <c r="K891" s="18"/>
    </row>
    <row r="892">
      <c r="K892" s="18"/>
    </row>
    <row r="893">
      <c r="K893" s="18"/>
    </row>
    <row r="894">
      <c r="K894" s="18"/>
    </row>
    <row r="895">
      <c r="K895" s="18"/>
    </row>
    <row r="896">
      <c r="K896" s="18"/>
    </row>
    <row r="897">
      <c r="K897" s="18"/>
    </row>
    <row r="898">
      <c r="K898" s="18"/>
    </row>
    <row r="899">
      <c r="K899" s="18"/>
    </row>
    <row r="900">
      <c r="K900" s="18"/>
    </row>
    <row r="901">
      <c r="K901" s="18"/>
    </row>
    <row r="902">
      <c r="K902" s="18"/>
    </row>
    <row r="903">
      <c r="K903" s="18"/>
    </row>
    <row r="904">
      <c r="K904" s="18"/>
    </row>
    <row r="905">
      <c r="K905" s="18"/>
    </row>
    <row r="906">
      <c r="K906" s="18"/>
    </row>
    <row r="907">
      <c r="K907" s="18"/>
    </row>
    <row r="908">
      <c r="K908" s="18"/>
    </row>
    <row r="909">
      <c r="K909" s="18"/>
    </row>
    <row r="910">
      <c r="K910" s="18"/>
    </row>
    <row r="911">
      <c r="K911" s="18"/>
    </row>
    <row r="912">
      <c r="K912" s="18"/>
    </row>
    <row r="913">
      <c r="K913" s="18"/>
    </row>
    <row r="914">
      <c r="K914" s="18"/>
    </row>
    <row r="915">
      <c r="K915" s="18"/>
    </row>
    <row r="916">
      <c r="K916" s="18"/>
    </row>
    <row r="917">
      <c r="K917" s="18"/>
    </row>
    <row r="918">
      <c r="K918" s="18"/>
    </row>
    <row r="919">
      <c r="K919" s="18"/>
    </row>
    <row r="920">
      <c r="K920" s="18"/>
    </row>
    <row r="921">
      <c r="K921" s="18"/>
    </row>
    <row r="922">
      <c r="K922" s="18"/>
    </row>
    <row r="923">
      <c r="K923" s="18"/>
    </row>
    <row r="924">
      <c r="K924" s="18"/>
    </row>
    <row r="925">
      <c r="K925" s="18"/>
    </row>
    <row r="926">
      <c r="K926" s="18"/>
    </row>
    <row r="927">
      <c r="K927" s="18"/>
    </row>
    <row r="928">
      <c r="K928" s="18"/>
    </row>
    <row r="929">
      <c r="K929" s="18"/>
    </row>
    <row r="930">
      <c r="K930" s="18"/>
    </row>
    <row r="931">
      <c r="K931" s="18"/>
    </row>
    <row r="932">
      <c r="K932" s="18"/>
    </row>
    <row r="933">
      <c r="K933" s="18"/>
    </row>
    <row r="934">
      <c r="K934" s="18"/>
    </row>
    <row r="935">
      <c r="K935" s="18"/>
    </row>
    <row r="936">
      <c r="K936" s="18"/>
    </row>
    <row r="937">
      <c r="K937" s="18"/>
    </row>
    <row r="938">
      <c r="K938" s="18"/>
    </row>
    <row r="939">
      <c r="K939" s="18"/>
    </row>
    <row r="940">
      <c r="K940" s="18"/>
    </row>
    <row r="941">
      <c r="K941" s="18"/>
    </row>
    <row r="942">
      <c r="K942" s="18"/>
    </row>
    <row r="943">
      <c r="K943" s="18"/>
    </row>
    <row r="944">
      <c r="K944" s="18"/>
    </row>
    <row r="945">
      <c r="K945" s="18"/>
    </row>
    <row r="946">
      <c r="K946" s="18"/>
    </row>
    <row r="947">
      <c r="K947" s="18"/>
    </row>
    <row r="948">
      <c r="K948" s="18"/>
    </row>
    <row r="949">
      <c r="K949" s="18"/>
    </row>
    <row r="950">
      <c r="K950" s="18"/>
    </row>
    <row r="951">
      <c r="K951" s="18"/>
    </row>
    <row r="952">
      <c r="K952" s="18"/>
    </row>
    <row r="953">
      <c r="K953" s="18"/>
    </row>
    <row r="954">
      <c r="K954" s="18"/>
    </row>
    <row r="955">
      <c r="K955" s="18"/>
    </row>
    <row r="956">
      <c r="K956" s="18"/>
    </row>
    <row r="957">
      <c r="K957" s="18"/>
    </row>
    <row r="958">
      <c r="K958" s="18"/>
    </row>
    <row r="959">
      <c r="K959" s="18"/>
    </row>
    <row r="960">
      <c r="K960" s="18"/>
    </row>
    <row r="961">
      <c r="K961" s="18"/>
    </row>
    <row r="962">
      <c r="K962" s="18"/>
    </row>
    <row r="963">
      <c r="K963" s="18"/>
    </row>
    <row r="964">
      <c r="K964" s="18"/>
    </row>
    <row r="965">
      <c r="K965" s="18"/>
    </row>
    <row r="966">
      <c r="K966" s="18"/>
    </row>
    <row r="967">
      <c r="K967" s="18"/>
    </row>
    <row r="968">
      <c r="K968" s="18"/>
    </row>
    <row r="969">
      <c r="K969" s="18"/>
    </row>
    <row r="970">
      <c r="K970" s="18"/>
    </row>
    <row r="971">
      <c r="K971" s="18"/>
    </row>
    <row r="972">
      <c r="K972" s="18"/>
    </row>
    <row r="973">
      <c r="K973" s="18"/>
    </row>
    <row r="974">
      <c r="K974" s="18"/>
    </row>
    <row r="975">
      <c r="K975" s="18"/>
    </row>
    <row r="976">
      <c r="K976" s="18"/>
    </row>
    <row r="977">
      <c r="K977" s="18"/>
    </row>
    <row r="978">
      <c r="K978" s="18"/>
    </row>
    <row r="979">
      <c r="K979" s="18"/>
    </row>
    <row r="980">
      <c r="K980" s="18"/>
    </row>
    <row r="981">
      <c r="K981" s="18"/>
    </row>
    <row r="982">
      <c r="K982" s="18"/>
    </row>
    <row r="983">
      <c r="K983" s="18"/>
    </row>
    <row r="984">
      <c r="K984" s="18"/>
    </row>
    <row r="985">
      <c r="K985" s="18"/>
    </row>
    <row r="986">
      <c r="K986" s="18"/>
    </row>
    <row r="987">
      <c r="K987" s="18"/>
    </row>
    <row r="988">
      <c r="K988" s="18"/>
    </row>
    <row r="989">
      <c r="K989" s="18"/>
    </row>
    <row r="990">
      <c r="K990" s="18"/>
    </row>
    <row r="991">
      <c r="K991" s="18"/>
    </row>
    <row r="992">
      <c r="K992" s="18"/>
    </row>
    <row r="993">
      <c r="K993" s="18"/>
    </row>
    <row r="994">
      <c r="K994" s="18"/>
    </row>
    <row r="995">
      <c r="K995" s="18"/>
    </row>
    <row r="996">
      <c r="K996" s="18"/>
    </row>
    <row r="997">
      <c r="K997" s="18"/>
    </row>
    <row r="998">
      <c r="K998" s="18"/>
    </row>
    <row r="999">
      <c r="K999" s="18"/>
    </row>
    <row r="1000">
      <c r="K1000" s="1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9.0"/>
    <col customWidth="1" min="3" max="3" width="8.86"/>
    <col customWidth="1" min="4" max="4" width="9.0"/>
    <col customWidth="1" min="5" max="5" width="7.71"/>
    <col customWidth="1" min="6" max="9" width="8.71"/>
    <col customWidth="1" min="10" max="10" width="9.0"/>
    <col customWidth="1" min="11" max="12" width="8.86"/>
    <col customWidth="1" min="13" max="13" width="10.29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11</v>
      </c>
      <c r="L1" s="3" t="s">
        <v>15</v>
      </c>
      <c r="M1" s="3" t="s">
        <v>24</v>
      </c>
    </row>
    <row r="2" ht="22.5" customHeight="1">
      <c r="A2" s="5" t="s">
        <v>26</v>
      </c>
      <c r="B2" s="6">
        <f>COUNTIF(Game_Data[Player],$A2)</f>
        <v>31</v>
      </c>
      <c r="C2" s="6">
        <f>SUMIF(Game_Data[Player],$A2,Game_Data[PA])</f>
        <v>134</v>
      </c>
      <c r="D2" s="6">
        <f>SUMIF(Game_Data[Player],$A2,Game_Data[AB])</f>
        <v>119</v>
      </c>
      <c r="E2" s="6">
        <f>SUMIF(Game_Data[Player],$A2,Game_Data[H])</f>
        <v>88</v>
      </c>
      <c r="F2" s="7">
        <f>SUMIF(Game_Data[Player],$A2,Game_Data[1B])</f>
        <v>44</v>
      </c>
      <c r="G2" s="7">
        <f>SUMIF(Game_Data[Player],$A2,Game_Data[2B])</f>
        <v>28</v>
      </c>
      <c r="H2" s="7">
        <f>SUMIF(Game_Data[Player],$A2,Game_Data[3B])</f>
        <v>5</v>
      </c>
      <c r="I2" s="7">
        <f>SUMIF(Game_Data[Player],$A2,Game_Data[4B])</f>
        <v>8</v>
      </c>
      <c r="J2" s="7">
        <f>SUMIF(Game_Data[Player],$A2,Game_Data[HR])</f>
        <v>3</v>
      </c>
      <c r="K2" s="7">
        <f>SUMIF(Game_Data[Player],$A2,Game_Data[BB])</f>
        <v>10</v>
      </c>
      <c r="L2" s="7">
        <f t="shared" ref="L2:L17" si="1">(F2)+(G2*2)+(H2*3)+(I2*4)+(J2*4)</f>
        <v>159</v>
      </c>
      <c r="M2" s="10">
        <f t="shared" ref="M2:M18" si="2">IFERROR((E2+K2)/C2,0) + IFERROR(L2/D2,0)</f>
        <v>2.067477737</v>
      </c>
    </row>
    <row r="3" ht="22.5" customHeight="1">
      <c r="A3" s="5" t="s">
        <v>25</v>
      </c>
      <c r="B3" s="6">
        <f>COUNTIF(Game_Data[Player],$A3)</f>
        <v>21</v>
      </c>
      <c r="C3" s="6">
        <f>SUMIF(Game_Data[Player],$A3,Game_Data[PA])</f>
        <v>86</v>
      </c>
      <c r="D3" s="6">
        <f>SUMIF(Game_Data[Player],$A3,Game_Data[AB])</f>
        <v>77</v>
      </c>
      <c r="E3" s="6">
        <f>SUMIF(Game_Data[Player],$A3,Game_Data[H])</f>
        <v>59</v>
      </c>
      <c r="F3" s="7">
        <f>SUMIF(Game_Data[Player],$A3,Game_Data[1B])</f>
        <v>43</v>
      </c>
      <c r="G3" s="7">
        <f>SUMIF(Game_Data[Player],$A3,Game_Data[2B])</f>
        <v>8</v>
      </c>
      <c r="H3" s="7">
        <f>SUMIF(Game_Data[Player],$A3,Game_Data[3B])</f>
        <v>5</v>
      </c>
      <c r="I3" s="7">
        <f>SUMIF(Game_Data[Player],$A3,Game_Data[4B])</f>
        <v>0</v>
      </c>
      <c r="J3" s="7">
        <f>SUMIF(Game_Data[Player],$A3,Game_Data[HR])</f>
        <v>3</v>
      </c>
      <c r="K3" s="7">
        <f>SUMIF(Game_Data[Player],$A3,Game_Data[BB])</f>
        <v>5</v>
      </c>
      <c r="L3" s="7">
        <f t="shared" si="1"/>
        <v>86</v>
      </c>
      <c r="M3" s="10">
        <f t="shared" si="2"/>
        <v>1.861069163</v>
      </c>
    </row>
    <row r="4" ht="22.5" customHeight="1">
      <c r="A4" s="5" t="s">
        <v>30</v>
      </c>
      <c r="B4" s="6">
        <f>COUNTIF(Game_Data[Player],$A4)</f>
        <v>31</v>
      </c>
      <c r="C4" s="6">
        <f>SUMIF(Game_Data[Player],$A4,Game_Data[PA])</f>
        <v>131</v>
      </c>
      <c r="D4" s="6">
        <f>SUMIF(Game_Data[Player],$A4,Game_Data[AB])</f>
        <v>116</v>
      </c>
      <c r="E4" s="6">
        <f>SUMIF(Game_Data[Player],$A4,Game_Data[H])</f>
        <v>71</v>
      </c>
      <c r="F4" s="7">
        <f>SUMIF(Game_Data[Player],$A4,Game_Data[1B])</f>
        <v>40</v>
      </c>
      <c r="G4" s="7">
        <f>SUMIF(Game_Data[Player],$A4,Game_Data[2B])</f>
        <v>12</v>
      </c>
      <c r="H4" s="7">
        <f>SUMIF(Game_Data[Player],$A4,Game_Data[3B])</f>
        <v>1</v>
      </c>
      <c r="I4" s="7">
        <f>SUMIF(Game_Data[Player],$A4,Game_Data[4B])</f>
        <v>0</v>
      </c>
      <c r="J4" s="7">
        <f>SUMIF(Game_Data[Player],$A4,Game_Data[HR])</f>
        <v>18</v>
      </c>
      <c r="K4" s="7">
        <f>SUMIF(Game_Data[Player],$A4,Game_Data[BB])</f>
        <v>9</v>
      </c>
      <c r="L4" s="7">
        <f t="shared" si="1"/>
        <v>139</v>
      </c>
      <c r="M4" s="10">
        <f t="shared" si="2"/>
        <v>1.808962885</v>
      </c>
    </row>
    <row r="5" ht="22.5" customHeight="1">
      <c r="A5" s="5" t="s">
        <v>32</v>
      </c>
      <c r="B5" s="6">
        <f>COUNTIF(Game_Data[Player],$A5)</f>
        <v>23</v>
      </c>
      <c r="C5" s="6">
        <f>SUMIF(Game_Data[Player],$A5,Game_Data[PA])</f>
        <v>92</v>
      </c>
      <c r="D5" s="6">
        <f>SUMIF(Game_Data[Player],$A5,Game_Data[AB])</f>
        <v>85</v>
      </c>
      <c r="E5" s="6">
        <f>SUMIF(Game_Data[Player],$A5,Game_Data[H])</f>
        <v>51</v>
      </c>
      <c r="F5" s="7">
        <f>SUMIF(Game_Data[Player],$A5,Game_Data[1B])</f>
        <v>32</v>
      </c>
      <c r="G5" s="7">
        <f>SUMIF(Game_Data[Player],$A5,Game_Data[2B])</f>
        <v>12</v>
      </c>
      <c r="H5" s="7">
        <f>SUMIF(Game_Data[Player],$A5,Game_Data[3B])</f>
        <v>4</v>
      </c>
      <c r="I5" s="7">
        <f>SUMIF(Game_Data[Player],$A5,Game_Data[4B])</f>
        <v>0</v>
      </c>
      <c r="J5" s="7">
        <f>SUMIF(Game_Data[Player],$A5,Game_Data[HR])</f>
        <v>3</v>
      </c>
      <c r="K5" s="7">
        <f>SUMIF(Game_Data[Player],$A5,Game_Data[BB])</f>
        <v>4</v>
      </c>
      <c r="L5" s="7">
        <f t="shared" si="1"/>
        <v>80</v>
      </c>
      <c r="M5" s="10">
        <f t="shared" si="2"/>
        <v>1.539002558</v>
      </c>
    </row>
    <row r="6" ht="22.5" customHeight="1">
      <c r="A6" s="5" t="s">
        <v>28</v>
      </c>
      <c r="B6" s="6">
        <f>COUNTIF(Game_Data[Player],$A6)</f>
        <v>30</v>
      </c>
      <c r="C6" s="6">
        <f>SUMIF(Game_Data[Player],$A6,Game_Data[PA])</f>
        <v>123</v>
      </c>
      <c r="D6" s="6">
        <f>SUMIF(Game_Data[Player],$A6,Game_Data[AB])</f>
        <v>115</v>
      </c>
      <c r="E6" s="6">
        <f>SUMIF(Game_Data[Player],$A6,Game_Data[H])</f>
        <v>72</v>
      </c>
      <c r="F6" s="7">
        <f>SUMIF(Game_Data[Player],$A6,Game_Data[1B])</f>
        <v>51</v>
      </c>
      <c r="G6" s="7">
        <f>SUMIF(Game_Data[Player],$A6,Game_Data[2B])</f>
        <v>14</v>
      </c>
      <c r="H6" s="7">
        <f>SUMIF(Game_Data[Player],$A6,Game_Data[3B])</f>
        <v>6</v>
      </c>
      <c r="I6" s="7">
        <f>SUMIF(Game_Data[Player],$A6,Game_Data[4B])</f>
        <v>1</v>
      </c>
      <c r="J6" s="7">
        <f>SUMIF(Game_Data[Player],$A6,Game_Data[HR])</f>
        <v>0</v>
      </c>
      <c r="K6" s="7">
        <f>SUMIF(Game_Data[Player],$A6,Game_Data[BB])</f>
        <v>7</v>
      </c>
      <c r="L6" s="7">
        <f t="shared" si="1"/>
        <v>101</v>
      </c>
      <c r="M6" s="10">
        <f t="shared" si="2"/>
        <v>1.520537292</v>
      </c>
    </row>
    <row r="7" ht="22.5" customHeight="1">
      <c r="A7" s="5" t="s">
        <v>27</v>
      </c>
      <c r="B7" s="6">
        <f>COUNTIF(Game_Data[Player],$A7)</f>
        <v>26</v>
      </c>
      <c r="C7" s="6">
        <f>SUMIF(Game_Data[Player],$A7,Game_Data[PA])</f>
        <v>105</v>
      </c>
      <c r="D7" s="6">
        <f>SUMIF(Game_Data[Player],$A7,Game_Data[AB])</f>
        <v>94</v>
      </c>
      <c r="E7" s="6">
        <f>SUMIF(Game_Data[Player],$A7,Game_Data[H])</f>
        <v>59</v>
      </c>
      <c r="F7" s="7">
        <f>SUMIF(Game_Data[Player],$A7,Game_Data[1B])</f>
        <v>42</v>
      </c>
      <c r="G7" s="7">
        <f>SUMIF(Game_Data[Player],$A7,Game_Data[2B])</f>
        <v>13</v>
      </c>
      <c r="H7" s="7">
        <f>SUMIF(Game_Data[Player],$A7,Game_Data[3B])</f>
        <v>1</v>
      </c>
      <c r="I7" s="7">
        <f>SUMIF(Game_Data[Player],$A7,Game_Data[4B])</f>
        <v>0</v>
      </c>
      <c r="J7" s="7">
        <f>SUMIF(Game_Data[Player],$A7,Game_Data[HR])</f>
        <v>3</v>
      </c>
      <c r="K7" s="7">
        <f>SUMIF(Game_Data[Player],$A7,Game_Data[BB])</f>
        <v>7</v>
      </c>
      <c r="L7" s="7">
        <f t="shared" si="1"/>
        <v>83</v>
      </c>
      <c r="M7" s="10">
        <f t="shared" si="2"/>
        <v>1.511550152</v>
      </c>
    </row>
    <row r="8" ht="22.5" customHeight="1">
      <c r="A8" s="5" t="s">
        <v>31</v>
      </c>
      <c r="B8" s="6">
        <f>COUNTIF(Game_Data[Player],$A8)</f>
        <v>8</v>
      </c>
      <c r="C8" s="6">
        <f>SUMIF(Game_Data[Player],$A8,Game_Data[PA])</f>
        <v>28</v>
      </c>
      <c r="D8" s="6">
        <f>SUMIF(Game_Data[Player],$A8,Game_Data[AB])</f>
        <v>28</v>
      </c>
      <c r="E8" s="6">
        <f>SUMIF(Game_Data[Player],$A8,Game_Data[H])</f>
        <v>17</v>
      </c>
      <c r="F8" s="7">
        <f>SUMIF(Game_Data[Player],$A8,Game_Data[1B])</f>
        <v>11</v>
      </c>
      <c r="G8" s="7">
        <f>SUMIF(Game_Data[Player],$A8,Game_Data[2B])</f>
        <v>4</v>
      </c>
      <c r="H8" s="7">
        <f>SUMIF(Game_Data[Player],$A8,Game_Data[3B])</f>
        <v>2</v>
      </c>
      <c r="I8" s="7">
        <f>SUMIF(Game_Data[Player],$A8,Game_Data[4B])</f>
        <v>0</v>
      </c>
      <c r="J8" s="7">
        <f>SUMIF(Game_Data[Player],$A8,Game_Data[HR])</f>
        <v>0</v>
      </c>
      <c r="K8" s="7">
        <f>SUMIF(Game_Data[Player],$A8,Game_Data[BB])</f>
        <v>0</v>
      </c>
      <c r="L8" s="7">
        <f t="shared" si="1"/>
        <v>25</v>
      </c>
      <c r="M8" s="10">
        <f t="shared" si="2"/>
        <v>1.5</v>
      </c>
    </row>
    <row r="9" ht="22.5" customHeight="1">
      <c r="A9" s="5" t="s">
        <v>33</v>
      </c>
      <c r="B9" s="6">
        <f>COUNTIF(Game_Data[Player],$A9)</f>
        <v>31</v>
      </c>
      <c r="C9" s="6">
        <f>SUMIF(Game_Data[Player],$A9,Game_Data[PA])</f>
        <v>128</v>
      </c>
      <c r="D9" s="6">
        <f>SUMIF(Game_Data[Player],$A9,Game_Data[AB])</f>
        <v>117</v>
      </c>
      <c r="E9" s="6">
        <f>SUMIF(Game_Data[Player],$A9,Game_Data[H])</f>
        <v>70</v>
      </c>
      <c r="F9" s="7">
        <f>SUMIF(Game_Data[Player],$A9,Game_Data[1B])</f>
        <v>45</v>
      </c>
      <c r="G9" s="7">
        <f>SUMIF(Game_Data[Player],$A9,Game_Data[2B])</f>
        <v>19</v>
      </c>
      <c r="H9" s="7">
        <f>SUMIF(Game_Data[Player],$A9,Game_Data[3B])</f>
        <v>3</v>
      </c>
      <c r="I9" s="7">
        <f>SUMIF(Game_Data[Player],$A9,Game_Data[4B])</f>
        <v>0</v>
      </c>
      <c r="J9" s="7">
        <f>SUMIF(Game_Data[Player],$A9,Game_Data[HR])</f>
        <v>3</v>
      </c>
      <c r="K9" s="7">
        <f>SUMIF(Game_Data[Player],$A9,Game_Data[BB])</f>
        <v>3</v>
      </c>
      <c r="L9" s="7">
        <f t="shared" si="1"/>
        <v>104</v>
      </c>
      <c r="M9" s="10">
        <f t="shared" si="2"/>
        <v>1.459201389</v>
      </c>
    </row>
    <row r="10" ht="22.5" customHeight="1">
      <c r="A10" s="5" t="s">
        <v>29</v>
      </c>
      <c r="B10" s="6">
        <f>COUNTIF(Game_Data[Player],$A10)</f>
        <v>33</v>
      </c>
      <c r="C10" s="6">
        <f>SUMIF(Game_Data[Player],$A10,Game_Data[PA])</f>
        <v>126</v>
      </c>
      <c r="D10" s="6">
        <f>SUMIF(Game_Data[Player],$A10,Game_Data[AB])</f>
        <v>114</v>
      </c>
      <c r="E10" s="6">
        <f>SUMIF(Game_Data[Player],$A10,Game_Data[H])</f>
        <v>70</v>
      </c>
      <c r="F10" s="7">
        <f>SUMIF(Game_Data[Player],$A10,Game_Data[1B])</f>
        <v>57</v>
      </c>
      <c r="G10" s="7">
        <f>SUMIF(Game_Data[Player],$A10,Game_Data[2B])</f>
        <v>10</v>
      </c>
      <c r="H10" s="7">
        <f>SUMIF(Game_Data[Player],$A10,Game_Data[3B])</f>
        <v>3</v>
      </c>
      <c r="I10" s="7">
        <f>SUMIF(Game_Data[Player],$A10,Game_Data[4B])</f>
        <v>0</v>
      </c>
      <c r="J10" s="7">
        <f>SUMIF(Game_Data[Player],$A10,Game_Data[HR])</f>
        <v>0</v>
      </c>
      <c r="K10" s="7">
        <f>SUMIF(Game_Data[Player],$A10,Game_Data[BB])</f>
        <v>9</v>
      </c>
      <c r="L10" s="7">
        <f t="shared" si="1"/>
        <v>86</v>
      </c>
      <c r="M10" s="10">
        <f t="shared" si="2"/>
        <v>1.381370092</v>
      </c>
    </row>
    <row r="11" ht="22.5" customHeight="1">
      <c r="A11" s="5" t="s">
        <v>34</v>
      </c>
      <c r="B11" s="6">
        <f>COUNTIF(Game_Data[Player],$A11)</f>
        <v>26</v>
      </c>
      <c r="C11" s="6">
        <f>SUMIF(Game_Data[Player],$A11,Game_Data[PA])</f>
        <v>95</v>
      </c>
      <c r="D11" s="6">
        <f>SUMIF(Game_Data[Player],$A11,Game_Data[AB])</f>
        <v>94</v>
      </c>
      <c r="E11" s="6">
        <f>SUMIF(Game_Data[Player],$A11,Game_Data[H])</f>
        <v>56</v>
      </c>
      <c r="F11" s="7">
        <f>SUMIF(Game_Data[Player],$A11,Game_Data[1B])</f>
        <v>47</v>
      </c>
      <c r="G11" s="7">
        <f>SUMIF(Game_Data[Player],$A11,Game_Data[2B])</f>
        <v>6</v>
      </c>
      <c r="H11" s="7">
        <f>SUMIF(Game_Data[Player],$A11,Game_Data[3B])</f>
        <v>3</v>
      </c>
      <c r="I11" s="7">
        <f>SUMIF(Game_Data[Player],$A11,Game_Data[4B])</f>
        <v>0</v>
      </c>
      <c r="J11" s="7">
        <f>SUMIF(Game_Data[Player],$A11,Game_Data[HR])</f>
        <v>0</v>
      </c>
      <c r="K11" s="7">
        <f>SUMIF(Game_Data[Player],$A11,Game_Data[BB])</f>
        <v>0</v>
      </c>
      <c r="L11" s="7">
        <f t="shared" si="1"/>
        <v>68</v>
      </c>
      <c r="M11" s="10">
        <f t="shared" si="2"/>
        <v>1.31287794</v>
      </c>
    </row>
    <row r="12" ht="22.5" customHeight="1">
      <c r="A12" s="5" t="s">
        <v>35</v>
      </c>
      <c r="B12" s="6">
        <f>COUNTIF(Game_Data[Player],$A12)</f>
        <v>22</v>
      </c>
      <c r="C12" s="6">
        <f>SUMIF(Game_Data[Player],$A12,Game_Data[PA])</f>
        <v>82</v>
      </c>
      <c r="D12" s="6">
        <f>SUMIF(Game_Data[Player],$A12,Game_Data[AB])</f>
        <v>79</v>
      </c>
      <c r="E12" s="6">
        <f>SUMIF(Game_Data[Player],$A12,Game_Data[H])</f>
        <v>43</v>
      </c>
      <c r="F12" s="7">
        <f>SUMIF(Game_Data[Player],$A12,Game_Data[1B])</f>
        <v>31</v>
      </c>
      <c r="G12" s="7">
        <f>SUMIF(Game_Data[Player],$A12,Game_Data[2B])</f>
        <v>9</v>
      </c>
      <c r="H12" s="7">
        <f>SUMIF(Game_Data[Player],$A12,Game_Data[3B])</f>
        <v>2</v>
      </c>
      <c r="I12" s="7">
        <f>SUMIF(Game_Data[Player],$A12,Game_Data[4B])</f>
        <v>0</v>
      </c>
      <c r="J12" s="7">
        <f>SUMIF(Game_Data[Player],$A12,Game_Data[HR])</f>
        <v>1</v>
      </c>
      <c r="K12" s="7">
        <f>SUMIF(Game_Data[Player],$A12,Game_Data[BB])</f>
        <v>0</v>
      </c>
      <c r="L12" s="7">
        <f t="shared" si="1"/>
        <v>59</v>
      </c>
      <c r="M12" s="10">
        <f t="shared" si="2"/>
        <v>1.271225687</v>
      </c>
    </row>
    <row r="13" ht="22.5" customHeight="1">
      <c r="A13" s="5" t="s">
        <v>36</v>
      </c>
      <c r="B13" s="6">
        <f>COUNTIF(Game_Data[Player],$A13)</f>
        <v>37</v>
      </c>
      <c r="C13" s="6">
        <f>SUMIF(Game_Data[Player],$A13,Game_Data[PA])</f>
        <v>137</v>
      </c>
      <c r="D13" s="6">
        <f>SUMIF(Game_Data[Player],$A13,Game_Data[AB])</f>
        <v>131</v>
      </c>
      <c r="E13" s="6">
        <f>SUMIF(Game_Data[Player],$A13,Game_Data[H])</f>
        <v>63</v>
      </c>
      <c r="F13" s="6">
        <f>SUMIF(Game_Data[Player],$A13,Game_Data[1B])</f>
        <v>50</v>
      </c>
      <c r="G13" s="6">
        <f>SUMIF(Game_Data[Player],$A13,Game_Data[2B])</f>
        <v>11</v>
      </c>
      <c r="H13" s="6">
        <f>SUMIF(Game_Data[Player],$A13,Game_Data[3B])</f>
        <v>2</v>
      </c>
      <c r="I13" s="6">
        <f>SUMIF(Game_Data[Player],$A13,Game_Data[4B])</f>
        <v>0</v>
      </c>
      <c r="J13" s="6">
        <f>SUMIF(Game_Data[Player],$A13,Game_Data[HR])</f>
        <v>0</v>
      </c>
      <c r="K13" s="6">
        <f>SUMIF(Game_Data[Player],$A13,Game_Data[BB])</f>
        <v>3</v>
      </c>
      <c r="L13" s="6">
        <f t="shared" si="1"/>
        <v>78</v>
      </c>
      <c r="M13" s="10">
        <f t="shared" si="2"/>
        <v>1.077171672</v>
      </c>
    </row>
    <row r="14" ht="22.5" customHeight="1">
      <c r="A14" s="5" t="s">
        <v>37</v>
      </c>
      <c r="B14" s="6">
        <f>COUNTIF(Game_Data[Player],$A14)</f>
        <v>23</v>
      </c>
      <c r="C14" s="6">
        <f>SUMIF(Game_Data[Player],$A14,Game_Data[PA])</f>
        <v>86</v>
      </c>
      <c r="D14" s="6">
        <f>SUMIF(Game_Data[Player],$A14,Game_Data[AB])</f>
        <v>80</v>
      </c>
      <c r="E14" s="6">
        <f>SUMIF(Game_Data[Player],$A14,Game_Data[H])</f>
        <v>37</v>
      </c>
      <c r="F14" s="7">
        <f>SUMIF(Game_Data[Player],$A14,Game_Data[1B])</f>
        <v>32</v>
      </c>
      <c r="G14" s="7">
        <f>SUMIF(Game_Data[Player],$A14,Game_Data[2B])</f>
        <v>5</v>
      </c>
      <c r="H14" s="7">
        <f>SUMIF(Game_Data[Player],$A14,Game_Data[3B])</f>
        <v>0</v>
      </c>
      <c r="I14" s="7">
        <f>SUMIF(Game_Data[Player],$A14,Game_Data[4B])</f>
        <v>0</v>
      </c>
      <c r="J14" s="7">
        <f>SUMIF(Game_Data[Player],$A14,Game_Data[HR])</f>
        <v>0</v>
      </c>
      <c r="K14" s="7">
        <f>SUMIF(Game_Data[Player],$A14,Game_Data[BB])</f>
        <v>4</v>
      </c>
      <c r="L14" s="7">
        <f t="shared" si="1"/>
        <v>42</v>
      </c>
      <c r="M14" s="10">
        <f t="shared" si="2"/>
        <v>1.001744186</v>
      </c>
    </row>
    <row r="15" ht="22.5" customHeight="1">
      <c r="A15" s="12" t="s">
        <v>38</v>
      </c>
      <c r="B15" s="6">
        <f>COUNTIF(Game_Data[Player],$A15)</f>
        <v>37</v>
      </c>
      <c r="C15" s="6">
        <f>SUMIF(Game_Data[Player],$A15,Game_Data[PA])</f>
        <v>129</v>
      </c>
      <c r="D15" s="6">
        <f>SUMIF(Game_Data[Player],$A15,Game_Data[AB])</f>
        <v>123</v>
      </c>
      <c r="E15" s="6">
        <f>SUMIF(Game_Data[Player],$A15,Game_Data[H])</f>
        <v>55</v>
      </c>
      <c r="F15" s="7">
        <f>SUMIF(Game_Data[Player],$A15,Game_Data[1B])</f>
        <v>49</v>
      </c>
      <c r="G15" s="7">
        <f>SUMIF(Game_Data[Player],$A15,Game_Data[2B])</f>
        <v>5</v>
      </c>
      <c r="H15" s="7">
        <f>SUMIF(Game_Data[Player],$A15,Game_Data[3B])</f>
        <v>1</v>
      </c>
      <c r="I15" s="7">
        <f>SUMIF(Game_Data[Player],$A15,Game_Data[4B])</f>
        <v>0</v>
      </c>
      <c r="J15" s="7">
        <f>SUMIF(Game_Data[Player],$A15,Game_Data[HR])</f>
        <v>0</v>
      </c>
      <c r="K15" s="7">
        <f>SUMIF(Game_Data[Player],$A15,Game_Data[BB])</f>
        <v>6</v>
      </c>
      <c r="L15" s="7">
        <f t="shared" si="1"/>
        <v>62</v>
      </c>
      <c r="M15" s="10">
        <f t="shared" si="2"/>
        <v>0.9769332577</v>
      </c>
    </row>
    <row r="16" ht="22.5" customHeight="1">
      <c r="A16" s="12" t="s">
        <v>39</v>
      </c>
      <c r="B16" s="6">
        <f>COUNTIF(Game_Data[Player],$A16)</f>
        <v>18</v>
      </c>
      <c r="C16" s="6">
        <f>SUMIF(Game_Data[Player],$A16,Game_Data[PA])</f>
        <v>61</v>
      </c>
      <c r="D16" s="6">
        <f>SUMIF(Game_Data[Player],$A16,Game_Data[AB])</f>
        <v>55</v>
      </c>
      <c r="E16" s="6">
        <f>SUMIF(Game_Data[Player],$A16,Game_Data[H])</f>
        <v>22</v>
      </c>
      <c r="F16" s="7">
        <f>SUMIF(Game_Data[Player],$A16,Game_Data[1B])</f>
        <v>18</v>
      </c>
      <c r="G16" s="7">
        <f>SUMIF(Game_Data[Player],$A16,Game_Data[2B])</f>
        <v>3</v>
      </c>
      <c r="H16" s="7">
        <f>SUMIF(Game_Data[Player],$A16,Game_Data[3B])</f>
        <v>0</v>
      </c>
      <c r="I16" s="7">
        <f>SUMIF(Game_Data[Player],$A16,Game_Data[4B])</f>
        <v>0</v>
      </c>
      <c r="J16" s="7">
        <f>SUMIF(Game_Data[Player],$A16,Game_Data[HR])</f>
        <v>1</v>
      </c>
      <c r="K16" s="7">
        <f>SUMIF(Game_Data[Player],$A16,Game_Data[BB])</f>
        <v>5</v>
      </c>
      <c r="L16" s="7">
        <f t="shared" si="1"/>
        <v>28</v>
      </c>
      <c r="M16" s="10">
        <f t="shared" si="2"/>
        <v>0.9517138599</v>
      </c>
    </row>
    <row r="17" ht="22.5" customHeight="1">
      <c r="A17" s="5" t="s">
        <v>40</v>
      </c>
      <c r="B17" s="6">
        <f>COUNTIF(Game_Data[Player],$A17)</f>
        <v>20</v>
      </c>
      <c r="C17" s="6">
        <f>SUMIF(Game_Data[Player],$A17,Game_Data[PA])</f>
        <v>72</v>
      </c>
      <c r="D17" s="6">
        <f>SUMIF(Game_Data[Player],$A17,Game_Data[AB])</f>
        <v>67</v>
      </c>
      <c r="E17" s="6">
        <f>SUMIF(Game_Data[Player],$A17,Game_Data[H])</f>
        <v>21</v>
      </c>
      <c r="F17" s="7">
        <f>SUMIF(Game_Data[Player],$A17,Game_Data[1B])</f>
        <v>20</v>
      </c>
      <c r="G17" s="7">
        <f>SUMIF(Game_Data[Player],$A17,Game_Data[2B])</f>
        <v>1</v>
      </c>
      <c r="H17" s="7">
        <f>SUMIF(Game_Data[Player],$A17,Game_Data[3B])</f>
        <v>0</v>
      </c>
      <c r="I17" s="7">
        <f>SUMIF(Game_Data[Player],$A17,Game_Data[4B])</f>
        <v>0</v>
      </c>
      <c r="J17" s="7">
        <f>SUMIF(Game_Data[Player],$A17,Game_Data[HR])</f>
        <v>0</v>
      </c>
      <c r="K17" s="7">
        <f>SUMIF(Game_Data[Player],$A17,Game_Data[BB])</f>
        <v>5</v>
      </c>
      <c r="L17" s="7">
        <f t="shared" si="1"/>
        <v>22</v>
      </c>
      <c r="M17" s="10">
        <f t="shared" si="2"/>
        <v>0.6894693201</v>
      </c>
    </row>
    <row r="18" ht="22.5" customHeight="1">
      <c r="A18" s="13" t="s">
        <v>41</v>
      </c>
      <c r="B18" s="14">
        <f>MAX(Game_Data[Game #])</f>
        <v>38</v>
      </c>
      <c r="C18" s="15">
        <f>SUBTOTAL(9, OPS[PA])</f>
        <v>1615</v>
      </c>
      <c r="D18" s="15">
        <f>SUBTOTAL(9, OPS[AB])</f>
        <v>1494</v>
      </c>
      <c r="E18" s="15">
        <f>SUBTOTAL(9, OPS[H])</f>
        <v>854</v>
      </c>
      <c r="F18" s="15">
        <f>SUBTOTAL(9, OPS[1B])</f>
        <v>612</v>
      </c>
      <c r="G18" s="15">
        <f>SUBTOTAL(9, OPS[2B])</f>
        <v>160</v>
      </c>
      <c r="H18" s="15">
        <f>SUBTOTAL(9, OPS[3B])</f>
        <v>38</v>
      </c>
      <c r="I18" s="15">
        <f>SUBTOTAL(9, OPS[4B])</f>
        <v>9</v>
      </c>
      <c r="J18" s="15">
        <f>SUBTOTAL(9, OPS[HR])</f>
        <v>35</v>
      </c>
      <c r="K18" s="15">
        <f>SUBTOTAL(9, OPS[BB])</f>
        <v>77</v>
      </c>
      <c r="L18" s="7">
        <f>SUBTOTAL(9,OPS[TB])</f>
        <v>1222</v>
      </c>
      <c r="M18" s="10">
        <f t="shared" si="2"/>
        <v>1.394409009</v>
      </c>
    </row>
    <row r="19">
      <c r="M19" s="18"/>
    </row>
    <row r="20">
      <c r="M20" s="18"/>
    </row>
    <row r="21">
      <c r="M21" s="18"/>
    </row>
    <row r="22">
      <c r="M22" s="18"/>
    </row>
    <row r="23">
      <c r="M23" s="18"/>
    </row>
    <row r="24">
      <c r="M24" s="18"/>
    </row>
    <row r="25">
      <c r="M25" s="18"/>
    </row>
    <row r="26">
      <c r="M26" s="18"/>
    </row>
    <row r="27">
      <c r="M27" s="18"/>
    </row>
    <row r="28">
      <c r="M28" s="18"/>
    </row>
    <row r="29">
      <c r="M29" s="18"/>
    </row>
    <row r="30">
      <c r="M30" s="18"/>
    </row>
    <row r="31">
      <c r="M31" s="18"/>
    </row>
    <row r="32">
      <c r="M32" s="18"/>
    </row>
    <row r="33">
      <c r="M33" s="18"/>
    </row>
    <row r="34">
      <c r="M34" s="18"/>
    </row>
    <row r="35">
      <c r="M35" s="18"/>
    </row>
    <row r="36">
      <c r="M36" s="18"/>
    </row>
    <row r="37">
      <c r="M37" s="18"/>
    </row>
    <row r="38">
      <c r="M38" s="18"/>
    </row>
    <row r="39">
      <c r="M39" s="18"/>
    </row>
    <row r="40">
      <c r="M40" s="18"/>
    </row>
    <row r="41">
      <c r="M41" s="18"/>
    </row>
    <row r="42">
      <c r="M42" s="18"/>
    </row>
    <row r="43">
      <c r="M43" s="18"/>
    </row>
    <row r="44">
      <c r="M44" s="18"/>
    </row>
    <row r="45">
      <c r="M45" s="18"/>
    </row>
    <row r="46">
      <c r="M46" s="18"/>
    </row>
    <row r="47">
      <c r="M47" s="18"/>
    </row>
    <row r="48">
      <c r="M48" s="18"/>
    </row>
    <row r="49">
      <c r="M49" s="18"/>
    </row>
    <row r="50">
      <c r="M50" s="18"/>
    </row>
    <row r="51">
      <c r="M51" s="18"/>
    </row>
    <row r="52">
      <c r="M52" s="18"/>
    </row>
    <row r="53">
      <c r="M53" s="18"/>
    </row>
    <row r="54">
      <c r="M54" s="18"/>
    </row>
    <row r="55">
      <c r="M55" s="18"/>
    </row>
    <row r="56">
      <c r="M56" s="18"/>
    </row>
    <row r="57">
      <c r="M57" s="18"/>
    </row>
    <row r="58">
      <c r="M58" s="18"/>
    </row>
    <row r="59">
      <c r="M59" s="18"/>
    </row>
    <row r="60">
      <c r="M60" s="18"/>
    </row>
    <row r="61">
      <c r="M61" s="18"/>
    </row>
    <row r="62">
      <c r="M62" s="18"/>
    </row>
    <row r="63">
      <c r="M63" s="18"/>
    </row>
    <row r="64">
      <c r="M64" s="18"/>
    </row>
    <row r="65">
      <c r="M65" s="18"/>
    </row>
    <row r="66">
      <c r="M66" s="18"/>
    </row>
    <row r="67">
      <c r="M67" s="18"/>
    </row>
    <row r="68">
      <c r="M68" s="18"/>
    </row>
    <row r="69">
      <c r="M69" s="18"/>
    </row>
    <row r="70">
      <c r="M70" s="18"/>
    </row>
    <row r="71">
      <c r="M71" s="18"/>
    </row>
    <row r="72">
      <c r="M72" s="18"/>
    </row>
    <row r="73">
      <c r="M73" s="18"/>
    </row>
    <row r="74">
      <c r="M74" s="18"/>
    </row>
    <row r="75">
      <c r="M75" s="18"/>
    </row>
    <row r="76">
      <c r="M76" s="18"/>
    </row>
    <row r="77">
      <c r="M77" s="18"/>
    </row>
    <row r="78">
      <c r="M78" s="18"/>
    </row>
    <row r="79">
      <c r="M79" s="18"/>
    </row>
    <row r="80">
      <c r="M80" s="18"/>
    </row>
    <row r="81">
      <c r="M81" s="18"/>
    </row>
    <row r="82">
      <c r="M82" s="18"/>
    </row>
    <row r="83">
      <c r="M83" s="18"/>
    </row>
    <row r="84">
      <c r="M84" s="18"/>
    </row>
    <row r="85">
      <c r="M85" s="18"/>
    </row>
    <row r="86">
      <c r="M86" s="18"/>
    </row>
    <row r="87">
      <c r="M87" s="18"/>
    </row>
    <row r="88">
      <c r="M88" s="18"/>
    </row>
    <row r="89">
      <c r="M89" s="18"/>
    </row>
    <row r="90">
      <c r="M90" s="18"/>
    </row>
    <row r="91">
      <c r="M91" s="18"/>
    </row>
    <row r="92">
      <c r="M92" s="18"/>
    </row>
    <row r="93">
      <c r="M93" s="18"/>
    </row>
    <row r="94">
      <c r="M94" s="18"/>
    </row>
    <row r="95">
      <c r="M95" s="18"/>
    </row>
    <row r="96">
      <c r="M96" s="18"/>
    </row>
    <row r="97">
      <c r="M97" s="18"/>
    </row>
    <row r="98">
      <c r="M98" s="18"/>
    </row>
    <row r="99">
      <c r="M99" s="18"/>
    </row>
    <row r="100">
      <c r="M100" s="18"/>
    </row>
    <row r="101">
      <c r="M101" s="18"/>
    </row>
    <row r="102">
      <c r="M102" s="18"/>
    </row>
    <row r="103">
      <c r="M103" s="18"/>
    </row>
    <row r="104">
      <c r="M104" s="18"/>
    </row>
    <row r="105">
      <c r="M105" s="18"/>
    </row>
    <row r="106">
      <c r="M106" s="18"/>
    </row>
    <row r="107">
      <c r="M107" s="18"/>
    </row>
    <row r="108">
      <c r="M108" s="18"/>
    </row>
    <row r="109">
      <c r="M109" s="18"/>
    </row>
    <row r="110">
      <c r="M110" s="18"/>
    </row>
    <row r="111">
      <c r="M111" s="18"/>
    </row>
    <row r="112">
      <c r="M112" s="18"/>
    </row>
    <row r="113">
      <c r="M113" s="18"/>
    </row>
    <row r="114">
      <c r="M114" s="18"/>
    </row>
    <row r="115">
      <c r="M115" s="18"/>
    </row>
    <row r="116">
      <c r="M116" s="18"/>
    </row>
    <row r="117">
      <c r="M117" s="18"/>
    </row>
    <row r="118">
      <c r="M118" s="18"/>
    </row>
    <row r="119">
      <c r="M119" s="18"/>
    </row>
    <row r="120">
      <c r="M120" s="18"/>
    </row>
    <row r="121">
      <c r="M121" s="18"/>
    </row>
    <row r="122">
      <c r="M122" s="18"/>
    </row>
    <row r="123">
      <c r="M123" s="18"/>
    </row>
    <row r="124">
      <c r="M124" s="18"/>
    </row>
    <row r="125">
      <c r="M125" s="18"/>
    </row>
    <row r="126">
      <c r="M126" s="18"/>
    </row>
    <row r="127">
      <c r="M127" s="18"/>
    </row>
    <row r="128">
      <c r="M128" s="18"/>
    </row>
    <row r="129">
      <c r="M129" s="18"/>
    </row>
    <row r="130">
      <c r="M130" s="18"/>
    </row>
    <row r="131">
      <c r="M131" s="18"/>
    </row>
    <row r="132">
      <c r="M132" s="18"/>
    </row>
    <row r="133">
      <c r="M133" s="18"/>
    </row>
    <row r="134">
      <c r="M134" s="18"/>
    </row>
    <row r="135">
      <c r="M135" s="18"/>
    </row>
    <row r="136">
      <c r="M136" s="18"/>
    </row>
    <row r="137">
      <c r="M137" s="18"/>
    </row>
    <row r="138">
      <c r="M138" s="18"/>
    </row>
    <row r="139">
      <c r="M139" s="18"/>
    </row>
    <row r="140">
      <c r="M140" s="18"/>
    </row>
    <row r="141">
      <c r="M141" s="18"/>
    </row>
    <row r="142">
      <c r="M142" s="18"/>
    </row>
    <row r="143">
      <c r="M143" s="18"/>
    </row>
    <row r="144">
      <c r="M144" s="18"/>
    </row>
    <row r="145">
      <c r="M145" s="18"/>
    </row>
    <row r="146">
      <c r="M146" s="18"/>
    </row>
    <row r="147">
      <c r="M147" s="18"/>
    </row>
    <row r="148">
      <c r="M148" s="18"/>
    </row>
    <row r="149">
      <c r="M149" s="18"/>
    </row>
    <row r="150">
      <c r="M150" s="18"/>
    </row>
    <row r="151">
      <c r="M151" s="18"/>
    </row>
    <row r="152">
      <c r="M152" s="18"/>
    </row>
    <row r="153">
      <c r="M153" s="18"/>
    </row>
    <row r="154">
      <c r="M154" s="18"/>
    </row>
    <row r="155">
      <c r="M155" s="18"/>
    </row>
    <row r="156">
      <c r="M156" s="18"/>
    </row>
    <row r="157">
      <c r="M157" s="18"/>
    </row>
    <row r="158">
      <c r="M158" s="18"/>
    </row>
    <row r="159">
      <c r="M159" s="18"/>
    </row>
    <row r="160">
      <c r="M160" s="18"/>
    </row>
    <row r="161">
      <c r="M161" s="18"/>
    </row>
    <row r="162">
      <c r="M162" s="18"/>
    </row>
    <row r="163">
      <c r="M163" s="18"/>
    </row>
    <row r="164">
      <c r="M164" s="18"/>
    </row>
    <row r="165">
      <c r="M165" s="18"/>
    </row>
    <row r="166">
      <c r="M166" s="18"/>
    </row>
    <row r="167">
      <c r="M167" s="18"/>
    </row>
    <row r="168">
      <c r="M168" s="18"/>
    </row>
    <row r="169">
      <c r="M169" s="18"/>
    </row>
    <row r="170">
      <c r="M170" s="18"/>
    </row>
    <row r="171">
      <c r="M171" s="18"/>
    </row>
    <row r="172">
      <c r="M172" s="18"/>
    </row>
    <row r="173">
      <c r="M173" s="18"/>
    </row>
    <row r="174">
      <c r="M174" s="18"/>
    </row>
    <row r="175">
      <c r="M175" s="18"/>
    </row>
    <row r="176">
      <c r="M176" s="18"/>
    </row>
    <row r="177">
      <c r="M177" s="18"/>
    </row>
    <row r="178">
      <c r="M178" s="18"/>
    </row>
    <row r="179">
      <c r="M179" s="18"/>
    </row>
    <row r="180">
      <c r="M180" s="18"/>
    </row>
    <row r="181">
      <c r="M181" s="18"/>
    </row>
    <row r="182">
      <c r="M182" s="18"/>
    </row>
    <row r="183">
      <c r="M183" s="18"/>
    </row>
    <row r="184">
      <c r="M184" s="18"/>
    </row>
    <row r="185">
      <c r="M185" s="18"/>
    </row>
    <row r="186">
      <c r="M186" s="18"/>
    </row>
    <row r="187">
      <c r="M187" s="18"/>
    </row>
    <row r="188">
      <c r="M188" s="18"/>
    </row>
    <row r="189">
      <c r="M189" s="18"/>
    </row>
    <row r="190">
      <c r="M190" s="18"/>
    </row>
    <row r="191">
      <c r="M191" s="18"/>
    </row>
    <row r="192">
      <c r="M192" s="18"/>
    </row>
    <row r="193">
      <c r="M193" s="18"/>
    </row>
    <row r="194">
      <c r="M194" s="18"/>
    </row>
    <row r="195">
      <c r="M195" s="18"/>
    </row>
    <row r="196">
      <c r="M196" s="18"/>
    </row>
    <row r="197">
      <c r="M197" s="18"/>
    </row>
    <row r="198">
      <c r="M198" s="18"/>
    </row>
    <row r="199">
      <c r="M199" s="18"/>
    </row>
    <row r="200">
      <c r="M200" s="18"/>
    </row>
    <row r="201">
      <c r="M201" s="18"/>
    </row>
    <row r="202">
      <c r="M202" s="18"/>
    </row>
    <row r="203">
      <c r="M203" s="18"/>
    </row>
    <row r="204">
      <c r="M204" s="18"/>
    </row>
    <row r="205">
      <c r="M205" s="18"/>
    </row>
    <row r="206">
      <c r="M206" s="18"/>
    </row>
    <row r="207">
      <c r="M207" s="18"/>
    </row>
    <row r="208">
      <c r="M208" s="18"/>
    </row>
    <row r="209">
      <c r="M209" s="18"/>
    </row>
    <row r="210">
      <c r="M210" s="18"/>
    </row>
    <row r="211">
      <c r="M211" s="18"/>
    </row>
    <row r="212">
      <c r="M212" s="18"/>
    </row>
    <row r="213">
      <c r="M213" s="18"/>
    </row>
    <row r="214">
      <c r="M214" s="18"/>
    </row>
    <row r="215">
      <c r="M215" s="18"/>
    </row>
    <row r="216">
      <c r="M216" s="18"/>
    </row>
    <row r="217">
      <c r="M217" s="18"/>
    </row>
    <row r="218">
      <c r="M218" s="18"/>
    </row>
    <row r="219">
      <c r="M219" s="18"/>
    </row>
    <row r="220">
      <c r="M220" s="18"/>
    </row>
    <row r="221">
      <c r="M221" s="18"/>
    </row>
    <row r="222">
      <c r="M222" s="18"/>
    </row>
    <row r="223">
      <c r="M223" s="18"/>
    </row>
    <row r="224">
      <c r="M224" s="18"/>
    </row>
    <row r="225">
      <c r="M225" s="18"/>
    </row>
    <row r="226">
      <c r="M226" s="18"/>
    </row>
    <row r="227">
      <c r="M227" s="18"/>
    </row>
    <row r="228">
      <c r="M228" s="18"/>
    </row>
    <row r="229">
      <c r="M229" s="18"/>
    </row>
    <row r="230">
      <c r="M230" s="18"/>
    </row>
    <row r="231">
      <c r="M231" s="18"/>
    </row>
    <row r="232">
      <c r="M232" s="18"/>
    </row>
    <row r="233">
      <c r="M233" s="18"/>
    </row>
    <row r="234">
      <c r="M234" s="18"/>
    </row>
    <row r="235">
      <c r="M235" s="18"/>
    </row>
    <row r="236">
      <c r="M236" s="18"/>
    </row>
    <row r="237">
      <c r="M237" s="18"/>
    </row>
    <row r="238">
      <c r="M238" s="18"/>
    </row>
    <row r="239">
      <c r="M239" s="18"/>
    </row>
    <row r="240">
      <c r="M240" s="18"/>
    </row>
    <row r="241">
      <c r="M241" s="18"/>
    </row>
    <row r="242">
      <c r="M242" s="18"/>
    </row>
    <row r="243">
      <c r="M243" s="18"/>
    </row>
    <row r="244">
      <c r="M244" s="18"/>
    </row>
    <row r="245">
      <c r="M245" s="18"/>
    </row>
    <row r="246">
      <c r="M246" s="18"/>
    </row>
    <row r="247">
      <c r="M247" s="18"/>
    </row>
    <row r="248">
      <c r="M248" s="18"/>
    </row>
    <row r="249">
      <c r="M249" s="18"/>
    </row>
    <row r="250">
      <c r="M250" s="18"/>
    </row>
    <row r="251">
      <c r="M251" s="18"/>
    </row>
    <row r="252">
      <c r="M252" s="18"/>
    </row>
    <row r="253">
      <c r="M253" s="18"/>
    </row>
    <row r="254">
      <c r="M254" s="18"/>
    </row>
    <row r="255">
      <c r="M255" s="18"/>
    </row>
    <row r="256">
      <c r="M256" s="18"/>
    </row>
    <row r="257">
      <c r="M257" s="18"/>
    </row>
    <row r="258">
      <c r="M258" s="18"/>
    </row>
    <row r="259">
      <c r="M259" s="18"/>
    </row>
    <row r="260">
      <c r="M260" s="18"/>
    </row>
    <row r="261">
      <c r="M261" s="18"/>
    </row>
    <row r="262">
      <c r="M262" s="18"/>
    </row>
    <row r="263">
      <c r="M263" s="18"/>
    </row>
    <row r="264">
      <c r="M264" s="18"/>
    </row>
    <row r="265">
      <c r="M265" s="18"/>
    </row>
    <row r="266">
      <c r="M266" s="18"/>
    </row>
    <row r="267">
      <c r="M267" s="18"/>
    </row>
    <row r="268">
      <c r="M268" s="18"/>
    </row>
    <row r="269">
      <c r="M269" s="18"/>
    </row>
    <row r="270">
      <c r="M270" s="18"/>
    </row>
    <row r="271">
      <c r="M271" s="18"/>
    </row>
    <row r="272">
      <c r="M272" s="18"/>
    </row>
    <row r="273">
      <c r="M273" s="18"/>
    </row>
    <row r="274">
      <c r="M274" s="18"/>
    </row>
    <row r="275">
      <c r="M275" s="18"/>
    </row>
    <row r="276">
      <c r="M276" s="18"/>
    </row>
    <row r="277">
      <c r="M277" s="18"/>
    </row>
    <row r="278">
      <c r="M278" s="18"/>
    </row>
    <row r="279">
      <c r="M279" s="18"/>
    </row>
    <row r="280">
      <c r="M280" s="18"/>
    </row>
    <row r="281">
      <c r="M281" s="18"/>
    </row>
    <row r="282">
      <c r="M282" s="18"/>
    </row>
    <row r="283">
      <c r="M283" s="18"/>
    </row>
    <row r="284">
      <c r="M284" s="18"/>
    </row>
    <row r="285">
      <c r="M285" s="18"/>
    </row>
    <row r="286">
      <c r="M286" s="18"/>
    </row>
    <row r="287">
      <c r="M287" s="18"/>
    </row>
    <row r="288">
      <c r="M288" s="18"/>
    </row>
    <row r="289">
      <c r="M289" s="18"/>
    </row>
    <row r="290">
      <c r="M290" s="18"/>
    </row>
    <row r="291">
      <c r="M291" s="18"/>
    </row>
    <row r="292">
      <c r="M292" s="18"/>
    </row>
    <row r="293">
      <c r="M293" s="18"/>
    </row>
    <row r="294">
      <c r="M294" s="18"/>
    </row>
    <row r="295">
      <c r="M295" s="18"/>
    </row>
    <row r="296">
      <c r="M296" s="18"/>
    </row>
    <row r="297">
      <c r="M297" s="18"/>
    </row>
    <row r="298">
      <c r="M298" s="18"/>
    </row>
    <row r="299">
      <c r="M299" s="18"/>
    </row>
    <row r="300">
      <c r="M300" s="18"/>
    </row>
    <row r="301">
      <c r="M301" s="18"/>
    </row>
    <row r="302">
      <c r="M302" s="18"/>
    </row>
    <row r="303">
      <c r="M303" s="18"/>
    </row>
    <row r="304">
      <c r="M304" s="18"/>
    </row>
    <row r="305">
      <c r="M305" s="18"/>
    </row>
    <row r="306">
      <c r="M306" s="18"/>
    </row>
    <row r="307">
      <c r="M307" s="18"/>
    </row>
    <row r="308">
      <c r="M308" s="18"/>
    </row>
    <row r="309">
      <c r="M309" s="18"/>
    </row>
    <row r="310">
      <c r="M310" s="18"/>
    </row>
    <row r="311">
      <c r="M311" s="18"/>
    </row>
    <row r="312">
      <c r="M312" s="18"/>
    </row>
    <row r="313">
      <c r="M313" s="18"/>
    </row>
    <row r="314">
      <c r="M314" s="18"/>
    </row>
    <row r="315">
      <c r="M315" s="18"/>
    </row>
    <row r="316">
      <c r="M316" s="18"/>
    </row>
    <row r="317">
      <c r="M317" s="18"/>
    </row>
    <row r="318">
      <c r="M318" s="18"/>
    </row>
    <row r="319">
      <c r="M319" s="18"/>
    </row>
    <row r="320">
      <c r="M320" s="18"/>
    </row>
    <row r="321">
      <c r="M321" s="18"/>
    </row>
    <row r="322">
      <c r="M322" s="18"/>
    </row>
    <row r="323">
      <c r="M323" s="18"/>
    </row>
    <row r="324">
      <c r="M324" s="18"/>
    </row>
    <row r="325">
      <c r="M325" s="18"/>
    </row>
    <row r="326">
      <c r="M326" s="18"/>
    </row>
    <row r="327">
      <c r="M327" s="18"/>
    </row>
    <row r="328">
      <c r="M328" s="18"/>
    </row>
    <row r="329">
      <c r="M329" s="18"/>
    </row>
    <row r="330">
      <c r="M330" s="18"/>
    </row>
    <row r="331">
      <c r="M331" s="18"/>
    </row>
    <row r="332">
      <c r="M332" s="18"/>
    </row>
    <row r="333">
      <c r="M333" s="18"/>
    </row>
    <row r="334">
      <c r="M334" s="18"/>
    </row>
    <row r="335">
      <c r="M335" s="18"/>
    </row>
    <row r="336">
      <c r="M336" s="18"/>
    </row>
    <row r="337">
      <c r="M337" s="18"/>
    </row>
    <row r="338">
      <c r="M338" s="18"/>
    </row>
    <row r="339">
      <c r="M339" s="18"/>
    </row>
    <row r="340">
      <c r="M340" s="18"/>
    </row>
    <row r="341">
      <c r="M341" s="18"/>
    </row>
    <row r="342">
      <c r="M342" s="18"/>
    </row>
    <row r="343">
      <c r="M343" s="18"/>
    </row>
    <row r="344">
      <c r="M344" s="18"/>
    </row>
    <row r="345">
      <c r="M345" s="18"/>
    </row>
    <row r="346">
      <c r="M346" s="18"/>
    </row>
    <row r="347">
      <c r="M347" s="18"/>
    </row>
    <row r="348">
      <c r="M348" s="18"/>
    </row>
    <row r="349">
      <c r="M349" s="18"/>
    </row>
    <row r="350">
      <c r="M350" s="18"/>
    </row>
    <row r="351">
      <c r="M351" s="18"/>
    </row>
    <row r="352">
      <c r="M352" s="18"/>
    </row>
    <row r="353">
      <c r="M353" s="18"/>
    </row>
    <row r="354">
      <c r="M354" s="18"/>
    </row>
    <row r="355">
      <c r="M355" s="18"/>
    </row>
    <row r="356">
      <c r="M356" s="18"/>
    </row>
    <row r="357">
      <c r="M357" s="18"/>
    </row>
    <row r="358">
      <c r="M358" s="18"/>
    </row>
    <row r="359">
      <c r="M359" s="18"/>
    </row>
    <row r="360">
      <c r="M360" s="18"/>
    </row>
    <row r="361">
      <c r="M361" s="18"/>
    </row>
    <row r="362">
      <c r="M362" s="18"/>
    </row>
    <row r="363">
      <c r="M363" s="18"/>
    </row>
    <row r="364">
      <c r="M364" s="18"/>
    </row>
    <row r="365">
      <c r="M365" s="18"/>
    </row>
    <row r="366">
      <c r="M366" s="18"/>
    </row>
    <row r="367">
      <c r="M367" s="18"/>
    </row>
    <row r="368">
      <c r="M368" s="18"/>
    </row>
    <row r="369">
      <c r="M369" s="18"/>
    </row>
    <row r="370">
      <c r="M370" s="18"/>
    </row>
    <row r="371">
      <c r="M371" s="18"/>
    </row>
    <row r="372">
      <c r="M372" s="18"/>
    </row>
    <row r="373">
      <c r="M373" s="18"/>
    </row>
    <row r="374">
      <c r="M374" s="18"/>
    </row>
    <row r="375">
      <c r="M375" s="18"/>
    </row>
    <row r="376">
      <c r="M376" s="18"/>
    </row>
    <row r="377">
      <c r="M377" s="18"/>
    </row>
    <row r="378">
      <c r="M378" s="18"/>
    </row>
    <row r="379">
      <c r="M379" s="18"/>
    </row>
    <row r="380">
      <c r="M380" s="18"/>
    </row>
    <row r="381">
      <c r="M381" s="18"/>
    </row>
    <row r="382">
      <c r="M382" s="18"/>
    </row>
    <row r="383">
      <c r="M383" s="18"/>
    </row>
    <row r="384">
      <c r="M384" s="18"/>
    </row>
    <row r="385">
      <c r="M385" s="18"/>
    </row>
    <row r="386">
      <c r="M386" s="18"/>
    </row>
    <row r="387">
      <c r="M387" s="18"/>
    </row>
    <row r="388">
      <c r="M388" s="18"/>
    </row>
    <row r="389">
      <c r="M389" s="18"/>
    </row>
    <row r="390">
      <c r="M390" s="18"/>
    </row>
    <row r="391">
      <c r="M391" s="18"/>
    </row>
    <row r="392">
      <c r="M392" s="18"/>
    </row>
    <row r="393">
      <c r="M393" s="18"/>
    </row>
    <row r="394">
      <c r="M394" s="18"/>
    </row>
    <row r="395">
      <c r="M395" s="18"/>
    </row>
    <row r="396">
      <c r="M396" s="18"/>
    </row>
    <row r="397">
      <c r="M397" s="18"/>
    </row>
    <row r="398">
      <c r="M398" s="18"/>
    </row>
    <row r="399">
      <c r="M399" s="18"/>
    </row>
    <row r="400">
      <c r="M400" s="18"/>
    </row>
    <row r="401">
      <c r="M401" s="18"/>
    </row>
    <row r="402">
      <c r="M402" s="18"/>
    </row>
    <row r="403">
      <c r="M403" s="18"/>
    </row>
    <row r="404">
      <c r="M404" s="18"/>
    </row>
    <row r="405">
      <c r="M405" s="18"/>
    </row>
    <row r="406">
      <c r="M406" s="18"/>
    </row>
    <row r="407">
      <c r="M407" s="18"/>
    </row>
    <row r="408">
      <c r="M408" s="18"/>
    </row>
    <row r="409">
      <c r="M409" s="18"/>
    </row>
    <row r="410">
      <c r="M410" s="18"/>
    </row>
    <row r="411">
      <c r="M411" s="18"/>
    </row>
    <row r="412">
      <c r="M412" s="18"/>
    </row>
    <row r="413">
      <c r="M413" s="18"/>
    </row>
    <row r="414">
      <c r="M414" s="18"/>
    </row>
    <row r="415">
      <c r="M415" s="18"/>
    </row>
    <row r="416">
      <c r="M416" s="18"/>
    </row>
    <row r="417">
      <c r="M417" s="18"/>
    </row>
    <row r="418">
      <c r="M418" s="18"/>
    </row>
    <row r="419">
      <c r="M419" s="18"/>
    </row>
    <row r="420">
      <c r="M420" s="18"/>
    </row>
    <row r="421">
      <c r="M421" s="18"/>
    </row>
    <row r="422">
      <c r="M422" s="18"/>
    </row>
    <row r="423">
      <c r="M423" s="18"/>
    </row>
    <row r="424">
      <c r="M424" s="18"/>
    </row>
    <row r="425">
      <c r="M425" s="18"/>
    </row>
    <row r="426">
      <c r="M426" s="18"/>
    </row>
    <row r="427">
      <c r="M427" s="18"/>
    </row>
    <row r="428">
      <c r="M428" s="18"/>
    </row>
    <row r="429">
      <c r="M429" s="18"/>
    </row>
    <row r="430">
      <c r="M430" s="18"/>
    </row>
    <row r="431">
      <c r="M431" s="18"/>
    </row>
    <row r="432">
      <c r="M432" s="18"/>
    </row>
    <row r="433">
      <c r="M433" s="18"/>
    </row>
    <row r="434">
      <c r="M434" s="18"/>
    </row>
    <row r="435">
      <c r="M435" s="18"/>
    </row>
    <row r="436">
      <c r="M436" s="18"/>
    </row>
    <row r="437">
      <c r="M437" s="18"/>
    </row>
    <row r="438">
      <c r="M438" s="18"/>
    </row>
    <row r="439">
      <c r="M439" s="18"/>
    </row>
    <row r="440">
      <c r="M440" s="18"/>
    </row>
    <row r="441">
      <c r="M441" s="18"/>
    </row>
    <row r="442">
      <c r="M442" s="18"/>
    </row>
    <row r="443">
      <c r="M443" s="18"/>
    </row>
    <row r="444">
      <c r="M444" s="18"/>
    </row>
    <row r="445">
      <c r="M445" s="18"/>
    </row>
    <row r="446">
      <c r="M446" s="18"/>
    </row>
    <row r="447">
      <c r="M447" s="18"/>
    </row>
    <row r="448">
      <c r="M448" s="18"/>
    </row>
    <row r="449">
      <c r="M449" s="18"/>
    </row>
    <row r="450">
      <c r="M450" s="18"/>
    </row>
    <row r="451">
      <c r="M451" s="18"/>
    </row>
    <row r="452">
      <c r="M452" s="18"/>
    </row>
    <row r="453">
      <c r="M453" s="18"/>
    </row>
    <row r="454">
      <c r="M454" s="18"/>
    </row>
    <row r="455">
      <c r="M455" s="18"/>
    </row>
    <row r="456">
      <c r="M456" s="18"/>
    </row>
    <row r="457">
      <c r="M457" s="18"/>
    </row>
    <row r="458">
      <c r="M458" s="18"/>
    </row>
    <row r="459">
      <c r="M459" s="18"/>
    </row>
    <row r="460">
      <c r="M460" s="18"/>
    </row>
    <row r="461">
      <c r="M461" s="18"/>
    </row>
    <row r="462">
      <c r="M462" s="18"/>
    </row>
    <row r="463">
      <c r="M463" s="18"/>
    </row>
    <row r="464">
      <c r="M464" s="18"/>
    </row>
    <row r="465">
      <c r="M465" s="18"/>
    </row>
    <row r="466">
      <c r="M466" s="18"/>
    </row>
    <row r="467">
      <c r="M467" s="18"/>
    </row>
    <row r="468">
      <c r="M468" s="18"/>
    </row>
    <row r="469">
      <c r="M469" s="18"/>
    </row>
    <row r="470">
      <c r="M470" s="18"/>
    </row>
    <row r="471">
      <c r="M471" s="18"/>
    </row>
    <row r="472">
      <c r="M472" s="18"/>
    </row>
    <row r="473">
      <c r="M473" s="18"/>
    </row>
    <row r="474">
      <c r="M474" s="18"/>
    </row>
    <row r="475">
      <c r="M475" s="18"/>
    </row>
    <row r="476">
      <c r="M476" s="18"/>
    </row>
    <row r="477">
      <c r="M477" s="18"/>
    </row>
    <row r="478">
      <c r="M478" s="18"/>
    </row>
    <row r="479">
      <c r="M479" s="18"/>
    </row>
    <row r="480">
      <c r="M480" s="18"/>
    </row>
    <row r="481">
      <c r="M481" s="18"/>
    </row>
    <row r="482">
      <c r="M482" s="18"/>
    </row>
    <row r="483">
      <c r="M483" s="18"/>
    </row>
    <row r="484">
      <c r="M484" s="18"/>
    </row>
    <row r="485">
      <c r="M485" s="18"/>
    </row>
    <row r="486">
      <c r="M486" s="18"/>
    </row>
    <row r="487">
      <c r="M487" s="18"/>
    </row>
    <row r="488">
      <c r="M488" s="18"/>
    </row>
    <row r="489">
      <c r="M489" s="18"/>
    </row>
    <row r="490">
      <c r="M490" s="18"/>
    </row>
    <row r="491">
      <c r="M491" s="18"/>
    </row>
    <row r="492">
      <c r="M492" s="18"/>
    </row>
    <row r="493">
      <c r="M493" s="18"/>
    </row>
    <row r="494">
      <c r="M494" s="18"/>
    </row>
    <row r="495">
      <c r="M495" s="18"/>
    </row>
    <row r="496">
      <c r="M496" s="18"/>
    </row>
    <row r="497">
      <c r="M497" s="18"/>
    </row>
    <row r="498">
      <c r="M498" s="18"/>
    </row>
    <row r="499">
      <c r="M499" s="18"/>
    </row>
    <row r="500">
      <c r="M500" s="18"/>
    </row>
    <row r="501">
      <c r="M501" s="18"/>
    </row>
    <row r="502">
      <c r="M502" s="18"/>
    </row>
    <row r="503">
      <c r="M503" s="18"/>
    </row>
    <row r="504">
      <c r="M504" s="18"/>
    </row>
    <row r="505">
      <c r="M505" s="18"/>
    </row>
    <row r="506">
      <c r="M506" s="18"/>
    </row>
    <row r="507">
      <c r="M507" s="18"/>
    </row>
    <row r="508">
      <c r="M508" s="18"/>
    </row>
    <row r="509">
      <c r="M509" s="18"/>
    </row>
    <row r="510">
      <c r="M510" s="18"/>
    </row>
    <row r="511">
      <c r="M511" s="18"/>
    </row>
    <row r="512">
      <c r="M512" s="18"/>
    </row>
    <row r="513">
      <c r="M513" s="18"/>
    </row>
    <row r="514">
      <c r="M514" s="18"/>
    </row>
    <row r="515">
      <c r="M515" s="18"/>
    </row>
    <row r="516">
      <c r="M516" s="18"/>
    </row>
    <row r="517">
      <c r="M517" s="18"/>
    </row>
    <row r="518">
      <c r="M518" s="18"/>
    </row>
    <row r="519">
      <c r="M519" s="18"/>
    </row>
    <row r="520">
      <c r="M520" s="18"/>
    </row>
    <row r="521">
      <c r="M521" s="18"/>
    </row>
    <row r="522">
      <c r="M522" s="18"/>
    </row>
    <row r="523">
      <c r="M523" s="18"/>
    </row>
    <row r="524">
      <c r="M524" s="18"/>
    </row>
    <row r="525">
      <c r="M525" s="18"/>
    </row>
    <row r="526">
      <c r="M526" s="18"/>
    </row>
    <row r="527">
      <c r="M527" s="18"/>
    </row>
    <row r="528">
      <c r="M528" s="18"/>
    </row>
    <row r="529">
      <c r="M529" s="18"/>
    </row>
    <row r="530">
      <c r="M530" s="18"/>
    </row>
    <row r="531">
      <c r="M531" s="18"/>
    </row>
    <row r="532">
      <c r="M532" s="18"/>
    </row>
    <row r="533">
      <c r="M533" s="18"/>
    </row>
    <row r="534">
      <c r="M534" s="18"/>
    </row>
    <row r="535">
      <c r="M535" s="18"/>
    </row>
    <row r="536">
      <c r="M536" s="18"/>
    </row>
    <row r="537">
      <c r="M537" s="18"/>
    </row>
    <row r="538">
      <c r="M538" s="18"/>
    </row>
    <row r="539">
      <c r="M539" s="18"/>
    </row>
    <row r="540">
      <c r="M540" s="18"/>
    </row>
    <row r="541">
      <c r="M541" s="18"/>
    </row>
    <row r="542">
      <c r="M542" s="18"/>
    </row>
    <row r="543">
      <c r="M543" s="18"/>
    </row>
    <row r="544">
      <c r="M544" s="18"/>
    </row>
    <row r="545">
      <c r="M545" s="18"/>
    </row>
    <row r="546">
      <c r="M546" s="18"/>
    </row>
    <row r="547">
      <c r="M547" s="18"/>
    </row>
    <row r="548">
      <c r="M548" s="18"/>
    </row>
    <row r="549">
      <c r="M549" s="18"/>
    </row>
    <row r="550">
      <c r="M550" s="18"/>
    </row>
    <row r="551">
      <c r="M551" s="18"/>
    </row>
    <row r="552">
      <c r="M552" s="18"/>
    </row>
    <row r="553">
      <c r="M553" s="18"/>
    </row>
    <row r="554">
      <c r="M554" s="18"/>
    </row>
    <row r="555">
      <c r="M555" s="18"/>
    </row>
    <row r="556">
      <c r="M556" s="18"/>
    </row>
    <row r="557">
      <c r="M557" s="18"/>
    </row>
    <row r="558">
      <c r="M558" s="18"/>
    </row>
    <row r="559">
      <c r="M559" s="18"/>
    </row>
    <row r="560">
      <c r="M560" s="18"/>
    </row>
    <row r="561">
      <c r="M561" s="18"/>
    </row>
    <row r="562">
      <c r="M562" s="18"/>
    </row>
    <row r="563">
      <c r="M563" s="18"/>
    </row>
    <row r="564">
      <c r="M564" s="18"/>
    </row>
    <row r="565">
      <c r="M565" s="18"/>
    </row>
    <row r="566">
      <c r="M566" s="18"/>
    </row>
    <row r="567">
      <c r="M567" s="18"/>
    </row>
    <row r="568">
      <c r="M568" s="18"/>
    </row>
    <row r="569">
      <c r="M569" s="18"/>
    </row>
    <row r="570">
      <c r="M570" s="18"/>
    </row>
    <row r="571">
      <c r="M571" s="18"/>
    </row>
    <row r="572">
      <c r="M572" s="18"/>
    </row>
    <row r="573">
      <c r="M573" s="18"/>
    </row>
    <row r="574">
      <c r="M574" s="18"/>
    </row>
    <row r="575">
      <c r="M575" s="18"/>
    </row>
    <row r="576">
      <c r="M576" s="18"/>
    </row>
    <row r="577">
      <c r="M577" s="18"/>
    </row>
    <row r="578">
      <c r="M578" s="18"/>
    </row>
    <row r="579">
      <c r="M579" s="18"/>
    </row>
    <row r="580">
      <c r="M580" s="18"/>
    </row>
    <row r="581">
      <c r="M581" s="18"/>
    </row>
    <row r="582">
      <c r="M582" s="18"/>
    </row>
    <row r="583">
      <c r="M583" s="18"/>
    </row>
    <row r="584">
      <c r="M584" s="18"/>
    </row>
    <row r="585">
      <c r="M585" s="18"/>
    </row>
    <row r="586">
      <c r="M586" s="18"/>
    </row>
    <row r="587">
      <c r="M587" s="18"/>
    </row>
    <row r="588">
      <c r="M588" s="18"/>
    </row>
    <row r="589">
      <c r="M589" s="18"/>
    </row>
    <row r="590">
      <c r="M590" s="18"/>
    </row>
    <row r="591">
      <c r="M591" s="18"/>
    </row>
    <row r="592">
      <c r="M592" s="18"/>
    </row>
    <row r="593">
      <c r="M593" s="18"/>
    </row>
    <row r="594">
      <c r="M594" s="18"/>
    </row>
    <row r="595">
      <c r="M595" s="18"/>
    </row>
    <row r="596">
      <c r="M596" s="18"/>
    </row>
    <row r="597">
      <c r="M597" s="18"/>
    </row>
    <row r="598">
      <c r="M598" s="18"/>
    </row>
    <row r="599">
      <c r="M599" s="18"/>
    </row>
    <row r="600">
      <c r="M600" s="18"/>
    </row>
    <row r="601">
      <c r="M601" s="18"/>
    </row>
    <row r="602">
      <c r="M602" s="18"/>
    </row>
    <row r="603">
      <c r="M603" s="18"/>
    </row>
    <row r="604">
      <c r="M604" s="18"/>
    </row>
    <row r="605">
      <c r="M605" s="18"/>
    </row>
    <row r="606">
      <c r="M606" s="18"/>
    </row>
    <row r="607">
      <c r="M607" s="18"/>
    </row>
    <row r="608">
      <c r="M608" s="18"/>
    </row>
    <row r="609">
      <c r="M609" s="18"/>
    </row>
    <row r="610">
      <c r="M610" s="18"/>
    </row>
    <row r="611">
      <c r="M611" s="18"/>
    </row>
    <row r="612">
      <c r="M612" s="18"/>
    </row>
    <row r="613">
      <c r="M613" s="18"/>
    </row>
    <row r="614">
      <c r="M614" s="18"/>
    </row>
    <row r="615">
      <c r="M615" s="18"/>
    </row>
    <row r="616">
      <c r="M616" s="18"/>
    </row>
    <row r="617">
      <c r="M617" s="18"/>
    </row>
    <row r="618">
      <c r="M618" s="18"/>
    </row>
    <row r="619">
      <c r="M619" s="18"/>
    </row>
    <row r="620">
      <c r="M620" s="18"/>
    </row>
    <row r="621">
      <c r="M621" s="18"/>
    </row>
    <row r="622">
      <c r="M622" s="18"/>
    </row>
    <row r="623">
      <c r="M623" s="18"/>
    </row>
    <row r="624">
      <c r="M624" s="18"/>
    </row>
    <row r="625">
      <c r="M625" s="18"/>
    </row>
    <row r="626">
      <c r="M626" s="18"/>
    </row>
    <row r="627">
      <c r="M627" s="18"/>
    </row>
    <row r="628">
      <c r="M628" s="18"/>
    </row>
    <row r="629">
      <c r="M629" s="18"/>
    </row>
    <row r="630">
      <c r="M630" s="18"/>
    </row>
    <row r="631">
      <c r="M631" s="18"/>
    </row>
    <row r="632">
      <c r="M632" s="18"/>
    </row>
    <row r="633">
      <c r="M633" s="18"/>
    </row>
    <row r="634">
      <c r="M634" s="18"/>
    </row>
    <row r="635">
      <c r="M635" s="18"/>
    </row>
    <row r="636">
      <c r="M636" s="18"/>
    </row>
    <row r="637">
      <c r="M637" s="18"/>
    </row>
    <row r="638">
      <c r="M638" s="18"/>
    </row>
    <row r="639">
      <c r="M639" s="18"/>
    </row>
    <row r="640">
      <c r="M640" s="18"/>
    </row>
    <row r="641">
      <c r="M641" s="18"/>
    </row>
    <row r="642">
      <c r="M642" s="18"/>
    </row>
    <row r="643">
      <c r="M643" s="18"/>
    </row>
    <row r="644">
      <c r="M644" s="18"/>
    </row>
    <row r="645">
      <c r="M645" s="18"/>
    </row>
    <row r="646">
      <c r="M646" s="18"/>
    </row>
    <row r="647">
      <c r="M647" s="18"/>
    </row>
    <row r="648">
      <c r="M648" s="18"/>
    </row>
    <row r="649">
      <c r="M649" s="18"/>
    </row>
    <row r="650">
      <c r="M650" s="18"/>
    </row>
    <row r="651">
      <c r="M651" s="18"/>
    </row>
    <row r="652">
      <c r="M652" s="18"/>
    </row>
    <row r="653">
      <c r="M653" s="18"/>
    </row>
    <row r="654">
      <c r="M654" s="18"/>
    </row>
    <row r="655">
      <c r="M655" s="18"/>
    </row>
    <row r="656">
      <c r="M656" s="18"/>
    </row>
    <row r="657">
      <c r="M657" s="18"/>
    </row>
    <row r="658">
      <c r="M658" s="18"/>
    </row>
    <row r="659">
      <c r="M659" s="18"/>
    </row>
    <row r="660">
      <c r="M660" s="18"/>
    </row>
    <row r="661">
      <c r="M661" s="18"/>
    </row>
    <row r="662">
      <c r="M662" s="18"/>
    </row>
    <row r="663">
      <c r="M663" s="18"/>
    </row>
    <row r="664">
      <c r="M664" s="18"/>
    </row>
    <row r="665">
      <c r="M665" s="18"/>
    </row>
    <row r="666">
      <c r="M666" s="18"/>
    </row>
    <row r="667">
      <c r="M667" s="18"/>
    </row>
    <row r="668">
      <c r="M668" s="18"/>
    </row>
    <row r="669">
      <c r="M669" s="18"/>
    </row>
    <row r="670">
      <c r="M670" s="18"/>
    </row>
    <row r="671">
      <c r="M671" s="18"/>
    </row>
    <row r="672">
      <c r="M672" s="18"/>
    </row>
    <row r="673">
      <c r="M673" s="18"/>
    </row>
    <row r="674">
      <c r="M674" s="18"/>
    </row>
    <row r="675">
      <c r="M675" s="18"/>
    </row>
    <row r="676">
      <c r="M676" s="18"/>
    </row>
    <row r="677">
      <c r="M677" s="18"/>
    </row>
    <row r="678">
      <c r="M678" s="18"/>
    </row>
    <row r="679">
      <c r="M679" s="18"/>
    </row>
    <row r="680">
      <c r="M680" s="18"/>
    </row>
    <row r="681">
      <c r="M681" s="18"/>
    </row>
    <row r="682">
      <c r="M682" s="18"/>
    </row>
    <row r="683">
      <c r="M683" s="18"/>
    </row>
    <row r="684">
      <c r="M684" s="18"/>
    </row>
    <row r="685">
      <c r="M685" s="18"/>
    </row>
    <row r="686">
      <c r="M686" s="18"/>
    </row>
    <row r="687">
      <c r="M687" s="18"/>
    </row>
    <row r="688">
      <c r="M688" s="18"/>
    </row>
    <row r="689">
      <c r="M689" s="18"/>
    </row>
    <row r="690">
      <c r="M690" s="18"/>
    </row>
    <row r="691">
      <c r="M691" s="18"/>
    </row>
    <row r="692">
      <c r="M692" s="18"/>
    </row>
    <row r="693">
      <c r="M693" s="18"/>
    </row>
    <row r="694">
      <c r="M694" s="18"/>
    </row>
    <row r="695">
      <c r="M695" s="18"/>
    </row>
    <row r="696">
      <c r="M696" s="18"/>
    </row>
    <row r="697">
      <c r="M697" s="18"/>
    </row>
    <row r="698">
      <c r="M698" s="18"/>
    </row>
    <row r="699">
      <c r="M699" s="18"/>
    </row>
    <row r="700">
      <c r="M700" s="18"/>
    </row>
    <row r="701">
      <c r="M701" s="18"/>
    </row>
    <row r="702">
      <c r="M702" s="18"/>
    </row>
    <row r="703">
      <c r="M703" s="18"/>
    </row>
    <row r="704">
      <c r="M704" s="18"/>
    </row>
    <row r="705">
      <c r="M705" s="18"/>
    </row>
    <row r="706">
      <c r="M706" s="18"/>
    </row>
    <row r="707">
      <c r="M707" s="18"/>
    </row>
    <row r="708">
      <c r="M708" s="18"/>
    </row>
    <row r="709">
      <c r="M709" s="18"/>
    </row>
    <row r="710">
      <c r="M710" s="18"/>
    </row>
    <row r="711">
      <c r="M711" s="18"/>
    </row>
    <row r="712">
      <c r="M712" s="18"/>
    </row>
    <row r="713">
      <c r="M713" s="18"/>
    </row>
    <row r="714">
      <c r="M714" s="18"/>
    </row>
    <row r="715">
      <c r="M715" s="18"/>
    </row>
    <row r="716">
      <c r="M716" s="18"/>
    </row>
    <row r="717">
      <c r="M717" s="18"/>
    </row>
    <row r="718">
      <c r="M718" s="18"/>
    </row>
    <row r="719">
      <c r="M719" s="18"/>
    </row>
    <row r="720">
      <c r="M720" s="18"/>
    </row>
    <row r="721">
      <c r="M721" s="18"/>
    </row>
    <row r="722">
      <c r="M722" s="18"/>
    </row>
    <row r="723">
      <c r="M723" s="18"/>
    </row>
    <row r="724">
      <c r="M724" s="18"/>
    </row>
    <row r="725">
      <c r="M725" s="18"/>
    </row>
    <row r="726">
      <c r="M726" s="18"/>
    </row>
    <row r="727">
      <c r="M727" s="18"/>
    </row>
    <row r="728">
      <c r="M728" s="18"/>
    </row>
    <row r="729">
      <c r="M729" s="18"/>
    </row>
    <row r="730">
      <c r="M730" s="18"/>
    </row>
    <row r="731">
      <c r="M731" s="18"/>
    </row>
    <row r="732">
      <c r="M732" s="18"/>
    </row>
    <row r="733">
      <c r="M733" s="18"/>
    </row>
    <row r="734">
      <c r="M734" s="18"/>
    </row>
    <row r="735">
      <c r="M735" s="18"/>
    </row>
    <row r="736">
      <c r="M736" s="18"/>
    </row>
    <row r="737">
      <c r="M737" s="18"/>
    </row>
    <row r="738">
      <c r="M738" s="18"/>
    </row>
    <row r="739">
      <c r="M739" s="18"/>
    </row>
    <row r="740">
      <c r="M740" s="18"/>
    </row>
    <row r="741">
      <c r="M741" s="18"/>
    </row>
    <row r="742">
      <c r="M742" s="18"/>
    </row>
    <row r="743">
      <c r="M743" s="18"/>
    </row>
    <row r="744">
      <c r="M744" s="18"/>
    </row>
    <row r="745">
      <c r="M745" s="18"/>
    </row>
    <row r="746">
      <c r="M746" s="18"/>
    </row>
    <row r="747">
      <c r="M747" s="18"/>
    </row>
    <row r="748">
      <c r="M748" s="18"/>
    </row>
    <row r="749">
      <c r="M749" s="18"/>
    </row>
    <row r="750">
      <c r="M750" s="18"/>
    </row>
    <row r="751">
      <c r="M751" s="18"/>
    </row>
    <row r="752">
      <c r="M752" s="18"/>
    </row>
    <row r="753">
      <c r="M753" s="18"/>
    </row>
    <row r="754">
      <c r="M754" s="18"/>
    </row>
    <row r="755">
      <c r="M755" s="18"/>
    </row>
    <row r="756">
      <c r="M756" s="18"/>
    </row>
    <row r="757">
      <c r="M757" s="18"/>
    </row>
    <row r="758">
      <c r="M758" s="18"/>
    </row>
    <row r="759">
      <c r="M759" s="18"/>
    </row>
    <row r="760">
      <c r="M760" s="18"/>
    </row>
    <row r="761">
      <c r="M761" s="18"/>
    </row>
    <row r="762">
      <c r="M762" s="18"/>
    </row>
    <row r="763">
      <c r="M763" s="18"/>
    </row>
    <row r="764">
      <c r="M764" s="18"/>
    </row>
    <row r="765">
      <c r="M765" s="18"/>
    </row>
    <row r="766">
      <c r="M766" s="18"/>
    </row>
    <row r="767">
      <c r="M767" s="18"/>
    </row>
    <row r="768">
      <c r="M768" s="18"/>
    </row>
    <row r="769">
      <c r="M769" s="18"/>
    </row>
    <row r="770">
      <c r="M770" s="18"/>
    </row>
    <row r="771">
      <c r="M771" s="18"/>
    </row>
    <row r="772">
      <c r="M772" s="18"/>
    </row>
    <row r="773">
      <c r="M773" s="18"/>
    </row>
    <row r="774">
      <c r="M774" s="18"/>
    </row>
    <row r="775">
      <c r="M775" s="18"/>
    </row>
    <row r="776">
      <c r="M776" s="18"/>
    </row>
    <row r="777">
      <c r="M777" s="18"/>
    </row>
    <row r="778">
      <c r="M778" s="18"/>
    </row>
    <row r="779">
      <c r="M779" s="18"/>
    </row>
    <row r="780">
      <c r="M780" s="18"/>
    </row>
    <row r="781">
      <c r="M781" s="18"/>
    </row>
    <row r="782">
      <c r="M782" s="18"/>
    </row>
    <row r="783">
      <c r="M783" s="18"/>
    </row>
    <row r="784">
      <c r="M784" s="18"/>
    </row>
    <row r="785">
      <c r="M785" s="18"/>
    </row>
    <row r="786">
      <c r="M786" s="18"/>
    </row>
    <row r="787">
      <c r="M787" s="18"/>
    </row>
    <row r="788">
      <c r="M788" s="18"/>
    </row>
    <row r="789">
      <c r="M789" s="18"/>
    </row>
    <row r="790">
      <c r="M790" s="18"/>
    </row>
    <row r="791">
      <c r="M791" s="18"/>
    </row>
    <row r="792">
      <c r="M792" s="18"/>
    </row>
    <row r="793">
      <c r="M793" s="18"/>
    </row>
    <row r="794">
      <c r="M794" s="18"/>
    </row>
    <row r="795">
      <c r="M795" s="18"/>
    </row>
    <row r="796">
      <c r="M796" s="18"/>
    </row>
    <row r="797">
      <c r="M797" s="18"/>
    </row>
    <row r="798">
      <c r="M798" s="18"/>
    </row>
    <row r="799">
      <c r="M799" s="18"/>
    </row>
    <row r="800">
      <c r="M800" s="18"/>
    </row>
    <row r="801">
      <c r="M801" s="18"/>
    </row>
    <row r="802">
      <c r="M802" s="18"/>
    </row>
    <row r="803">
      <c r="M803" s="18"/>
    </row>
    <row r="804">
      <c r="M804" s="18"/>
    </row>
    <row r="805">
      <c r="M805" s="18"/>
    </row>
    <row r="806">
      <c r="M806" s="18"/>
    </row>
    <row r="807">
      <c r="M807" s="18"/>
    </row>
    <row r="808">
      <c r="M808" s="18"/>
    </row>
    <row r="809">
      <c r="M809" s="18"/>
    </row>
    <row r="810">
      <c r="M810" s="18"/>
    </row>
    <row r="811">
      <c r="M811" s="18"/>
    </row>
    <row r="812">
      <c r="M812" s="18"/>
    </row>
    <row r="813">
      <c r="M813" s="18"/>
    </row>
    <row r="814">
      <c r="M814" s="18"/>
    </row>
    <row r="815">
      <c r="M815" s="18"/>
    </row>
    <row r="816">
      <c r="M816" s="18"/>
    </row>
    <row r="817">
      <c r="M817" s="18"/>
    </row>
    <row r="818">
      <c r="M818" s="18"/>
    </row>
    <row r="819">
      <c r="M819" s="18"/>
    </row>
    <row r="820">
      <c r="M820" s="18"/>
    </row>
    <row r="821">
      <c r="M821" s="18"/>
    </row>
    <row r="822">
      <c r="M822" s="18"/>
    </row>
    <row r="823">
      <c r="M823" s="18"/>
    </row>
    <row r="824">
      <c r="M824" s="18"/>
    </row>
    <row r="825">
      <c r="M825" s="18"/>
    </row>
    <row r="826">
      <c r="M826" s="18"/>
    </row>
    <row r="827">
      <c r="M827" s="18"/>
    </row>
    <row r="828">
      <c r="M828" s="18"/>
    </row>
    <row r="829">
      <c r="M829" s="18"/>
    </row>
    <row r="830">
      <c r="M830" s="18"/>
    </row>
    <row r="831">
      <c r="M831" s="18"/>
    </row>
    <row r="832">
      <c r="M832" s="18"/>
    </row>
    <row r="833">
      <c r="M833" s="18"/>
    </row>
    <row r="834">
      <c r="M834" s="18"/>
    </row>
    <row r="835">
      <c r="M835" s="18"/>
    </row>
    <row r="836">
      <c r="M836" s="18"/>
    </row>
    <row r="837">
      <c r="M837" s="18"/>
    </row>
    <row r="838">
      <c r="M838" s="18"/>
    </row>
    <row r="839">
      <c r="M839" s="18"/>
    </row>
    <row r="840">
      <c r="M840" s="18"/>
    </row>
    <row r="841">
      <c r="M841" s="18"/>
    </row>
    <row r="842">
      <c r="M842" s="18"/>
    </row>
    <row r="843">
      <c r="M843" s="18"/>
    </row>
    <row r="844">
      <c r="M844" s="18"/>
    </row>
    <row r="845">
      <c r="M845" s="18"/>
    </row>
    <row r="846">
      <c r="M846" s="18"/>
    </row>
    <row r="847">
      <c r="M847" s="18"/>
    </row>
    <row r="848">
      <c r="M848" s="18"/>
    </row>
    <row r="849">
      <c r="M849" s="18"/>
    </row>
    <row r="850">
      <c r="M850" s="18"/>
    </row>
    <row r="851">
      <c r="M851" s="18"/>
    </row>
    <row r="852">
      <c r="M852" s="18"/>
    </row>
    <row r="853">
      <c r="M853" s="18"/>
    </row>
    <row r="854">
      <c r="M854" s="18"/>
    </row>
    <row r="855">
      <c r="M855" s="18"/>
    </row>
    <row r="856">
      <c r="M856" s="18"/>
    </row>
    <row r="857">
      <c r="M857" s="18"/>
    </row>
    <row r="858">
      <c r="M858" s="18"/>
    </row>
    <row r="859">
      <c r="M859" s="18"/>
    </row>
    <row r="860">
      <c r="M860" s="18"/>
    </row>
    <row r="861">
      <c r="M861" s="18"/>
    </row>
    <row r="862">
      <c r="M862" s="18"/>
    </row>
    <row r="863">
      <c r="M863" s="18"/>
    </row>
    <row r="864">
      <c r="M864" s="18"/>
    </row>
    <row r="865">
      <c r="M865" s="18"/>
    </row>
    <row r="866">
      <c r="M866" s="18"/>
    </row>
    <row r="867">
      <c r="M867" s="18"/>
    </row>
    <row r="868">
      <c r="M868" s="18"/>
    </row>
    <row r="869">
      <c r="M869" s="18"/>
    </row>
    <row r="870">
      <c r="M870" s="18"/>
    </row>
    <row r="871">
      <c r="M871" s="18"/>
    </row>
    <row r="872">
      <c r="M872" s="18"/>
    </row>
    <row r="873">
      <c r="M873" s="18"/>
    </row>
    <row r="874">
      <c r="M874" s="18"/>
    </row>
    <row r="875">
      <c r="M875" s="18"/>
    </row>
    <row r="876">
      <c r="M876" s="18"/>
    </row>
    <row r="877">
      <c r="M877" s="18"/>
    </row>
    <row r="878">
      <c r="M878" s="18"/>
    </row>
    <row r="879">
      <c r="M879" s="18"/>
    </row>
    <row r="880">
      <c r="M880" s="18"/>
    </row>
    <row r="881">
      <c r="M881" s="18"/>
    </row>
    <row r="882">
      <c r="M882" s="18"/>
    </row>
    <row r="883">
      <c r="M883" s="18"/>
    </row>
    <row r="884">
      <c r="M884" s="18"/>
    </row>
    <row r="885">
      <c r="M885" s="18"/>
    </row>
    <row r="886">
      <c r="M886" s="18"/>
    </row>
    <row r="887">
      <c r="M887" s="18"/>
    </row>
    <row r="888">
      <c r="M888" s="18"/>
    </row>
    <row r="889">
      <c r="M889" s="18"/>
    </row>
    <row r="890">
      <c r="M890" s="18"/>
    </row>
    <row r="891">
      <c r="M891" s="18"/>
    </row>
    <row r="892">
      <c r="M892" s="18"/>
    </row>
    <row r="893">
      <c r="M893" s="18"/>
    </row>
    <row r="894">
      <c r="M894" s="18"/>
    </row>
    <row r="895">
      <c r="M895" s="18"/>
    </row>
    <row r="896">
      <c r="M896" s="18"/>
    </row>
    <row r="897">
      <c r="M897" s="18"/>
    </row>
    <row r="898">
      <c r="M898" s="18"/>
    </row>
    <row r="899">
      <c r="M899" s="18"/>
    </row>
    <row r="900">
      <c r="M900" s="18"/>
    </row>
    <row r="901">
      <c r="M901" s="18"/>
    </row>
    <row r="902">
      <c r="M902" s="18"/>
    </row>
    <row r="903">
      <c r="M903" s="18"/>
    </row>
    <row r="904">
      <c r="M904" s="18"/>
    </row>
    <row r="905">
      <c r="M905" s="18"/>
    </row>
    <row r="906">
      <c r="M906" s="18"/>
    </row>
    <row r="907">
      <c r="M907" s="18"/>
    </row>
    <row r="908">
      <c r="M908" s="18"/>
    </row>
    <row r="909">
      <c r="M909" s="18"/>
    </row>
    <row r="910">
      <c r="M910" s="18"/>
    </row>
    <row r="911">
      <c r="M911" s="18"/>
    </row>
    <row r="912">
      <c r="M912" s="18"/>
    </row>
    <row r="913">
      <c r="M913" s="18"/>
    </row>
    <row r="914">
      <c r="M914" s="18"/>
    </row>
    <row r="915">
      <c r="M915" s="18"/>
    </row>
    <row r="916">
      <c r="M916" s="18"/>
    </row>
    <row r="917">
      <c r="M917" s="18"/>
    </row>
    <row r="918">
      <c r="M918" s="18"/>
    </row>
    <row r="919">
      <c r="M919" s="18"/>
    </row>
    <row r="920">
      <c r="M920" s="18"/>
    </row>
    <row r="921">
      <c r="M921" s="18"/>
    </row>
    <row r="922">
      <c r="M922" s="18"/>
    </row>
    <row r="923">
      <c r="M923" s="18"/>
    </row>
    <row r="924">
      <c r="M924" s="18"/>
    </row>
    <row r="925">
      <c r="M925" s="18"/>
    </row>
    <row r="926">
      <c r="M926" s="18"/>
    </row>
    <row r="927">
      <c r="M927" s="18"/>
    </row>
    <row r="928">
      <c r="M928" s="18"/>
    </row>
    <row r="929">
      <c r="M929" s="18"/>
    </row>
    <row r="930">
      <c r="M930" s="18"/>
    </row>
    <row r="931">
      <c r="M931" s="18"/>
    </row>
    <row r="932">
      <c r="M932" s="18"/>
    </row>
    <row r="933">
      <c r="M933" s="18"/>
    </row>
    <row r="934">
      <c r="M934" s="18"/>
    </row>
    <row r="935">
      <c r="M935" s="18"/>
    </row>
    <row r="936">
      <c r="M936" s="18"/>
    </row>
    <row r="937">
      <c r="M937" s="18"/>
    </row>
    <row r="938">
      <c r="M938" s="18"/>
    </row>
    <row r="939">
      <c r="M939" s="18"/>
    </row>
    <row r="940">
      <c r="M940" s="18"/>
    </row>
    <row r="941">
      <c r="M941" s="18"/>
    </row>
    <row r="942">
      <c r="M942" s="18"/>
    </row>
    <row r="943">
      <c r="M943" s="18"/>
    </row>
    <row r="944">
      <c r="M944" s="18"/>
    </row>
    <row r="945">
      <c r="M945" s="18"/>
    </row>
    <row r="946">
      <c r="M946" s="18"/>
    </row>
    <row r="947">
      <c r="M947" s="18"/>
    </row>
    <row r="948">
      <c r="M948" s="18"/>
    </row>
    <row r="949">
      <c r="M949" s="18"/>
    </row>
    <row r="950">
      <c r="M950" s="18"/>
    </row>
    <row r="951">
      <c r="M951" s="18"/>
    </row>
    <row r="952">
      <c r="M952" s="18"/>
    </row>
    <row r="953">
      <c r="M953" s="18"/>
    </row>
    <row r="954">
      <c r="M954" s="18"/>
    </row>
    <row r="955">
      <c r="M955" s="18"/>
    </row>
    <row r="956">
      <c r="M956" s="18"/>
    </row>
    <row r="957">
      <c r="M957" s="18"/>
    </row>
    <row r="958">
      <c r="M958" s="18"/>
    </row>
    <row r="959">
      <c r="M959" s="18"/>
    </row>
    <row r="960">
      <c r="M960" s="18"/>
    </row>
    <row r="961">
      <c r="M961" s="18"/>
    </row>
    <row r="962">
      <c r="M962" s="18"/>
    </row>
    <row r="963">
      <c r="M963" s="18"/>
    </row>
    <row r="964">
      <c r="M964" s="18"/>
    </row>
    <row r="965">
      <c r="M965" s="18"/>
    </row>
    <row r="966">
      <c r="M966" s="18"/>
    </row>
    <row r="967">
      <c r="M967" s="18"/>
    </row>
    <row r="968">
      <c r="M968" s="18"/>
    </row>
    <row r="969">
      <c r="M969" s="18"/>
    </row>
    <row r="970">
      <c r="M970" s="18"/>
    </row>
    <row r="971">
      <c r="M971" s="18"/>
    </row>
    <row r="972">
      <c r="M972" s="18"/>
    </row>
    <row r="973">
      <c r="M973" s="18"/>
    </row>
    <row r="974">
      <c r="M974" s="18"/>
    </row>
    <row r="975">
      <c r="M975" s="18"/>
    </row>
    <row r="976">
      <c r="M976" s="18"/>
    </row>
    <row r="977">
      <c r="M977" s="18"/>
    </row>
    <row r="978">
      <c r="M978" s="18"/>
    </row>
    <row r="979">
      <c r="M979" s="18"/>
    </row>
    <row r="980">
      <c r="M980" s="18"/>
    </row>
    <row r="981">
      <c r="M981" s="18"/>
    </row>
    <row r="982">
      <c r="M982" s="18"/>
    </row>
    <row r="983">
      <c r="M983" s="18"/>
    </row>
    <row r="984">
      <c r="M984" s="18"/>
    </row>
    <row r="985">
      <c r="M985" s="18"/>
    </row>
    <row r="986">
      <c r="M986" s="18"/>
    </row>
    <row r="987">
      <c r="M987" s="18"/>
    </row>
    <row r="988">
      <c r="M988" s="18"/>
    </row>
    <row r="989">
      <c r="M989" s="18"/>
    </row>
    <row r="990">
      <c r="M990" s="18"/>
    </row>
    <row r="991">
      <c r="M991" s="18"/>
    </row>
    <row r="992">
      <c r="M992" s="18"/>
    </row>
    <row r="993">
      <c r="M993" s="18"/>
    </row>
    <row r="994">
      <c r="M994" s="18"/>
    </row>
    <row r="995">
      <c r="M995" s="18"/>
    </row>
    <row r="996">
      <c r="M996" s="18"/>
    </row>
    <row r="997">
      <c r="M997" s="18"/>
    </row>
    <row r="998">
      <c r="M998" s="18"/>
    </row>
    <row r="999">
      <c r="M999" s="18"/>
    </row>
    <row r="1000">
      <c r="M1000" s="18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9.0"/>
    <col customWidth="1" min="3" max="3" width="8.86"/>
    <col customWidth="1" min="4" max="4" width="7.57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20</v>
      </c>
    </row>
    <row r="2" ht="22.5" customHeight="1">
      <c r="A2" s="5" t="s">
        <v>30</v>
      </c>
      <c r="B2" s="6">
        <f>COUNTIF(Game_Data[Player],$A2)</f>
        <v>31</v>
      </c>
      <c r="C2" s="6">
        <f>SUMIF(Game_Data[Player],$A2,Game_Data[PA])</f>
        <v>131</v>
      </c>
      <c r="D2" s="11">
        <f>SUMIF(Game_Data[Player],$A2,Game_Data[RBI])</f>
        <v>75</v>
      </c>
    </row>
    <row r="3" ht="22.5" customHeight="1">
      <c r="A3" s="5" t="s">
        <v>26</v>
      </c>
      <c r="B3" s="6">
        <f>COUNTIF(Game_Data[Player],$A3)</f>
        <v>31</v>
      </c>
      <c r="C3" s="6">
        <f>SUMIF(Game_Data[Player],$A3,Game_Data[PA])</f>
        <v>134</v>
      </c>
      <c r="D3" s="8">
        <f>SUMIF(Game_Data[Player],$A3,Game_Data[RBI])</f>
        <v>62</v>
      </c>
    </row>
    <row r="4" ht="22.5" customHeight="1">
      <c r="A4" s="5" t="s">
        <v>33</v>
      </c>
      <c r="B4" s="6">
        <f>COUNTIF(Game_Data[Player],$A4)</f>
        <v>31</v>
      </c>
      <c r="C4" s="6">
        <f>SUMIF(Game_Data[Player],$A4,Game_Data[PA])</f>
        <v>128</v>
      </c>
      <c r="D4" s="8">
        <f>SUMIF(Game_Data[Player],$A4,Game_Data[RBI])</f>
        <v>51</v>
      </c>
    </row>
    <row r="5" ht="22.5" customHeight="1">
      <c r="A5" s="5" t="s">
        <v>32</v>
      </c>
      <c r="B5" s="6">
        <f>COUNTIF(Game_Data[Player],$A5)</f>
        <v>23</v>
      </c>
      <c r="C5" s="6">
        <f>SUMIF(Game_Data[Player],$A5,Game_Data[PA])</f>
        <v>92</v>
      </c>
      <c r="D5" s="8">
        <f>SUMIF(Game_Data[Player],$A5,Game_Data[RBI])</f>
        <v>44</v>
      </c>
    </row>
    <row r="6" ht="22.5" customHeight="1">
      <c r="A6" s="5" t="s">
        <v>25</v>
      </c>
      <c r="B6" s="6">
        <f>COUNTIF(Game_Data[Player],$A6)</f>
        <v>21</v>
      </c>
      <c r="C6" s="6">
        <f>SUMIF(Game_Data[Player],$A6,Game_Data[PA])</f>
        <v>86</v>
      </c>
      <c r="D6" s="8">
        <f>SUMIF(Game_Data[Player],$A6,Game_Data[RBI])</f>
        <v>43</v>
      </c>
    </row>
    <row r="7" ht="22.5" customHeight="1">
      <c r="A7" s="5" t="s">
        <v>36</v>
      </c>
      <c r="B7" s="6">
        <f>COUNTIF(Game_Data[Player],$A7)</f>
        <v>37</v>
      </c>
      <c r="C7" s="6">
        <f>SUMIF(Game_Data[Player],$A7,Game_Data[PA])</f>
        <v>137</v>
      </c>
      <c r="D7" s="8">
        <f>SUMIF(Game_Data[Player],$A7,Game_Data[RBI])</f>
        <v>43</v>
      </c>
    </row>
    <row r="8" ht="22.5" customHeight="1">
      <c r="A8" s="5" t="s">
        <v>27</v>
      </c>
      <c r="B8" s="6">
        <f>COUNTIF(Game_Data[Player],$A8)</f>
        <v>26</v>
      </c>
      <c r="C8" s="6">
        <f>SUMIF(Game_Data[Player],$A8,Game_Data[PA])</f>
        <v>105</v>
      </c>
      <c r="D8" s="8">
        <f>SUMIF(Game_Data[Player],$A8,Game_Data[RBI])</f>
        <v>39</v>
      </c>
    </row>
    <row r="9" ht="22.5" customHeight="1">
      <c r="A9" s="5" t="s">
        <v>28</v>
      </c>
      <c r="B9" s="6">
        <f>COUNTIF(Game_Data[Player],$A9)</f>
        <v>30</v>
      </c>
      <c r="C9" s="6">
        <f>SUMIF(Game_Data[Player],$A9,Game_Data[PA])</f>
        <v>123</v>
      </c>
      <c r="D9" s="8">
        <f>SUMIF(Game_Data[Player],$A9,Game_Data[RBI])</f>
        <v>36</v>
      </c>
    </row>
    <row r="10" ht="22.5" customHeight="1">
      <c r="A10" s="5" t="s">
        <v>35</v>
      </c>
      <c r="B10" s="6">
        <f>COUNTIF(Game_Data[Player],$A10)</f>
        <v>22</v>
      </c>
      <c r="C10" s="6">
        <f>SUMIF(Game_Data[Player],$A10,Game_Data[PA])</f>
        <v>82</v>
      </c>
      <c r="D10" s="8">
        <f>SUMIF(Game_Data[Player],$A10,Game_Data[RBI])</f>
        <v>34</v>
      </c>
    </row>
    <row r="11" ht="22.5" customHeight="1">
      <c r="A11" s="5" t="s">
        <v>34</v>
      </c>
      <c r="B11" s="6">
        <f>COUNTIF(Game_Data[Player],$A11)</f>
        <v>26</v>
      </c>
      <c r="C11" s="6">
        <f>SUMIF(Game_Data[Player],$A11,Game_Data[PA])</f>
        <v>95</v>
      </c>
      <c r="D11" s="8">
        <f>SUMIF(Game_Data[Player],$A11,Game_Data[RBI])</f>
        <v>33</v>
      </c>
    </row>
    <row r="12" ht="22.5" customHeight="1">
      <c r="A12" s="12" t="s">
        <v>38</v>
      </c>
      <c r="B12" s="6">
        <f>COUNTIF(Game_Data[Player],$A12)</f>
        <v>37</v>
      </c>
      <c r="C12" s="6">
        <f>SUMIF(Game_Data[Player],$A12,Game_Data[PA])</f>
        <v>129</v>
      </c>
      <c r="D12" s="8">
        <f>SUMIF(Game_Data[Player],$A12,Game_Data[RBI])</f>
        <v>28</v>
      </c>
    </row>
    <row r="13" ht="22.5" customHeight="1">
      <c r="A13" s="5" t="s">
        <v>29</v>
      </c>
      <c r="B13" s="6">
        <f>COUNTIF(Game_Data[Player],$A13)</f>
        <v>33</v>
      </c>
      <c r="C13" s="6">
        <f>SUMIF(Game_Data[Player],$A13,Game_Data[PA])</f>
        <v>126</v>
      </c>
      <c r="D13" s="8">
        <f>SUMIF(Game_Data[Player],$A13,Game_Data[RBI])</f>
        <v>28</v>
      </c>
    </row>
    <row r="14" ht="22.5" customHeight="1">
      <c r="A14" s="5" t="s">
        <v>37</v>
      </c>
      <c r="B14" s="6">
        <f>COUNTIF(Game_Data[Player],$A14)</f>
        <v>23</v>
      </c>
      <c r="C14" s="6">
        <f>SUMIF(Game_Data[Player],$A14,Game_Data[PA])</f>
        <v>86</v>
      </c>
      <c r="D14" s="8">
        <f>SUMIF(Game_Data[Player],$A14,Game_Data[RBI])</f>
        <v>24</v>
      </c>
    </row>
    <row r="15" ht="22.5" customHeight="1">
      <c r="A15" s="12" t="s">
        <v>39</v>
      </c>
      <c r="B15" s="6">
        <f>COUNTIF(Game_Data[Player],$A15)</f>
        <v>18</v>
      </c>
      <c r="C15" s="6">
        <f>SUMIF(Game_Data[Player],$A15,Game_Data[PA])</f>
        <v>61</v>
      </c>
      <c r="D15" s="8">
        <f>SUMIF(Game_Data[Player],$A15,Game_Data[RBI])</f>
        <v>13</v>
      </c>
    </row>
    <row r="16" ht="22.5" customHeight="1">
      <c r="A16" s="5" t="s">
        <v>40</v>
      </c>
      <c r="B16" s="6">
        <f>COUNTIF(Game_Data[Player],$A16)</f>
        <v>20</v>
      </c>
      <c r="C16" s="6">
        <f>SUMIF(Game_Data[Player],$A16,Game_Data[PA])</f>
        <v>72</v>
      </c>
      <c r="D16" s="8">
        <f>SUMIF(Game_Data[Player],$A16,Game_Data[RBI])</f>
        <v>12</v>
      </c>
    </row>
    <row r="17" ht="22.5" customHeight="1">
      <c r="A17" s="5" t="s">
        <v>31</v>
      </c>
      <c r="B17" s="6">
        <f>COUNTIF(Game_Data[Player],$A17)</f>
        <v>8</v>
      </c>
      <c r="C17" s="6">
        <f>SUMIF(Game_Data[Player],$A17,Game_Data[PA])</f>
        <v>28</v>
      </c>
      <c r="D17" s="8">
        <f>SUMIF(Game_Data[Player],$A17,Game_Data[RBI])</f>
        <v>8</v>
      </c>
    </row>
    <row r="18" ht="22.5" customHeight="1">
      <c r="A18" s="13" t="s">
        <v>41</v>
      </c>
      <c r="B18" s="14">
        <f>MAX(Game_Data[Game #])</f>
        <v>38</v>
      </c>
      <c r="C18" s="15">
        <f>SUBTOTAL(9, RBI[PA])</f>
        <v>1615</v>
      </c>
      <c r="D18" s="7">
        <f>SUBTOTAL(9,RBI[RBI])</f>
        <v>573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9.0"/>
    <col customWidth="1" min="3" max="3" width="8.86"/>
    <col customWidth="1" min="4" max="4" width="9.0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9</v>
      </c>
    </row>
    <row r="2" ht="22.5" customHeight="1">
      <c r="A2" s="5" t="s">
        <v>30</v>
      </c>
      <c r="B2" s="6">
        <f>COUNTIF(Game_Data[Player],$A2)</f>
        <v>31</v>
      </c>
      <c r="C2" s="6">
        <f>SUMIF(Game_Data[Player],$A2,Game_Data[PA])</f>
        <v>131</v>
      </c>
      <c r="D2" s="7">
        <f>SUMIF(Game_Data[Player],$A2,Game_Data[HR])</f>
        <v>18</v>
      </c>
    </row>
    <row r="3" ht="22.5" customHeight="1">
      <c r="A3" s="5" t="s">
        <v>32</v>
      </c>
      <c r="B3" s="6">
        <f>COUNTIF(Game_Data[Player],$A3)</f>
        <v>23</v>
      </c>
      <c r="C3" s="6">
        <f>SUMIF(Game_Data[Player],$A3,Game_Data[PA])</f>
        <v>92</v>
      </c>
      <c r="D3" s="7">
        <f>SUMIF(Game_Data[Player],$A3,Game_Data[HR])</f>
        <v>3</v>
      </c>
    </row>
    <row r="4" ht="22.5" customHeight="1">
      <c r="A4" s="5" t="s">
        <v>25</v>
      </c>
      <c r="B4" s="6">
        <f>COUNTIF(Game_Data[Player],$A4)</f>
        <v>21</v>
      </c>
      <c r="C4" s="6">
        <f>SUMIF(Game_Data[Player],$A4,Game_Data[PA])</f>
        <v>86</v>
      </c>
      <c r="D4" s="7">
        <f>SUMIF(Game_Data[Player],$A4,Game_Data[HR])</f>
        <v>3</v>
      </c>
    </row>
    <row r="5" ht="22.5" customHeight="1">
      <c r="A5" s="5" t="s">
        <v>26</v>
      </c>
      <c r="B5" s="6">
        <f>COUNTIF(Game_Data[Player],$A5)</f>
        <v>31</v>
      </c>
      <c r="C5" s="6">
        <f>SUMIF(Game_Data[Player],$A5,Game_Data[PA])</f>
        <v>134</v>
      </c>
      <c r="D5" s="7">
        <f>SUMIF(Game_Data[Player],$A5,Game_Data[HR])</f>
        <v>3</v>
      </c>
    </row>
    <row r="6" ht="22.5" customHeight="1">
      <c r="A6" s="5" t="s">
        <v>27</v>
      </c>
      <c r="B6" s="6">
        <f>COUNTIF(Game_Data[Player],$A6)</f>
        <v>26</v>
      </c>
      <c r="C6" s="6">
        <f>SUMIF(Game_Data[Player],$A6,Game_Data[PA])</f>
        <v>105</v>
      </c>
      <c r="D6" s="7">
        <f>SUMIF(Game_Data[Player],$A6,Game_Data[HR])</f>
        <v>3</v>
      </c>
    </row>
    <row r="7" ht="22.5" customHeight="1">
      <c r="A7" s="5" t="s">
        <v>33</v>
      </c>
      <c r="B7" s="6">
        <f>COUNTIF(Game_Data[Player],$A7)</f>
        <v>31</v>
      </c>
      <c r="C7" s="6">
        <f>SUMIF(Game_Data[Player],$A7,Game_Data[PA])</f>
        <v>128</v>
      </c>
      <c r="D7" s="7">
        <f>SUMIF(Game_Data[Player],$A7,Game_Data[HR])</f>
        <v>3</v>
      </c>
    </row>
    <row r="8" ht="22.5" customHeight="1">
      <c r="A8" s="5" t="s">
        <v>35</v>
      </c>
      <c r="B8" s="6">
        <f>COUNTIF(Game_Data[Player],$A8)</f>
        <v>22</v>
      </c>
      <c r="C8" s="6">
        <f>SUMIF(Game_Data[Player],$A8,Game_Data[PA])</f>
        <v>82</v>
      </c>
      <c r="D8" s="7">
        <f>SUMIF(Game_Data[Player],$A8,Game_Data[HR])</f>
        <v>1</v>
      </c>
    </row>
    <row r="9" ht="22.5" customHeight="1">
      <c r="A9" s="12" t="s">
        <v>39</v>
      </c>
      <c r="B9" s="6">
        <f>COUNTIF(Game_Data[Player],$A9)</f>
        <v>18</v>
      </c>
      <c r="C9" s="6">
        <f>SUMIF(Game_Data[Player],$A9,Game_Data[PA])</f>
        <v>61</v>
      </c>
      <c r="D9" s="7">
        <f>SUMIF(Game_Data[Player],$A9,Game_Data[HR])</f>
        <v>1</v>
      </c>
    </row>
    <row r="10" ht="22.5" customHeight="1">
      <c r="A10" s="5" t="s">
        <v>28</v>
      </c>
      <c r="B10" s="6">
        <f>COUNTIF(Game_Data[Player],$A10)</f>
        <v>30</v>
      </c>
      <c r="C10" s="6">
        <f>SUMIF(Game_Data[Player],$A10,Game_Data[PA])</f>
        <v>123</v>
      </c>
      <c r="D10" s="7">
        <f>SUMIF(Game_Data[Player],$A10,Game_Data[HR])</f>
        <v>0</v>
      </c>
    </row>
    <row r="11" ht="22.5" customHeight="1">
      <c r="A11" s="5" t="s">
        <v>34</v>
      </c>
      <c r="B11" s="6">
        <f>COUNTIF(Game_Data[Player],$A11)</f>
        <v>26</v>
      </c>
      <c r="C11" s="6">
        <f>SUMIF(Game_Data[Player],$A11,Game_Data[PA])</f>
        <v>95</v>
      </c>
      <c r="D11" s="7">
        <f>SUMIF(Game_Data[Player],$A11,Game_Data[HR])</f>
        <v>0</v>
      </c>
    </row>
    <row r="12" ht="22.5" customHeight="1">
      <c r="A12" s="5" t="s">
        <v>31</v>
      </c>
      <c r="B12" s="6">
        <f>COUNTIF(Game_Data[Player],$A12)</f>
        <v>8</v>
      </c>
      <c r="C12" s="6">
        <f>SUMIF(Game_Data[Player],$A12,Game_Data[PA])</f>
        <v>28</v>
      </c>
      <c r="D12" s="7">
        <f>SUMIF(Game_Data[Player],$A12,Game_Data[HR])</f>
        <v>0</v>
      </c>
    </row>
    <row r="13" ht="22.5" customHeight="1">
      <c r="A13" s="5" t="s">
        <v>29</v>
      </c>
      <c r="B13" s="6">
        <f>COUNTIF(Game_Data[Player],$A13)</f>
        <v>33</v>
      </c>
      <c r="C13" s="6">
        <f>SUMIF(Game_Data[Player],$A13,Game_Data[PA])</f>
        <v>126</v>
      </c>
      <c r="D13" s="7">
        <f>SUMIF(Game_Data[Player],$A13,Game_Data[HR])</f>
        <v>0</v>
      </c>
    </row>
    <row r="14" ht="22.5" customHeight="1">
      <c r="A14" s="5" t="s">
        <v>37</v>
      </c>
      <c r="B14" s="6">
        <f>COUNTIF(Game_Data[Player],$A14)</f>
        <v>23</v>
      </c>
      <c r="C14" s="6">
        <f>SUMIF(Game_Data[Player],$A14,Game_Data[PA])</f>
        <v>86</v>
      </c>
      <c r="D14" s="7">
        <f>SUMIF(Game_Data[Player],$A14,Game_Data[HR])</f>
        <v>0</v>
      </c>
    </row>
    <row r="15" ht="22.5" customHeight="1">
      <c r="A15" s="5" t="s">
        <v>36</v>
      </c>
      <c r="B15" s="6">
        <f>COUNTIF(Game_Data[Player],$A15)</f>
        <v>37</v>
      </c>
      <c r="C15" s="6">
        <f>SUMIF(Game_Data[Player],$A15,Game_Data[PA])</f>
        <v>137</v>
      </c>
      <c r="D15" s="6">
        <f>SUMIF(Game_Data[Player],$A15,Game_Data[HR])</f>
        <v>0</v>
      </c>
    </row>
    <row r="16" ht="22.5" customHeight="1">
      <c r="A16" s="12" t="s">
        <v>38</v>
      </c>
      <c r="B16" s="6">
        <f>COUNTIF(Game_Data[Player],$A16)</f>
        <v>37</v>
      </c>
      <c r="C16" s="6">
        <f>SUMIF(Game_Data[Player],$A16,Game_Data[PA])</f>
        <v>129</v>
      </c>
      <c r="D16" s="7">
        <f>SUMIF(Game_Data[Player],$A16,Game_Data[HR])</f>
        <v>0</v>
      </c>
    </row>
    <row r="17" ht="22.5" customHeight="1">
      <c r="A17" s="5" t="s">
        <v>40</v>
      </c>
      <c r="B17" s="6">
        <f>COUNTIF(Game_Data[Player],$A17)</f>
        <v>20</v>
      </c>
      <c r="C17" s="6">
        <f>SUMIF(Game_Data[Player],$A17,Game_Data[PA])</f>
        <v>72</v>
      </c>
      <c r="D17" s="7">
        <f>SUMIF(Game_Data[Player],$A17,Game_Data[HR])</f>
        <v>0</v>
      </c>
    </row>
    <row r="18" ht="22.5" customHeight="1">
      <c r="A18" s="13" t="s">
        <v>41</v>
      </c>
      <c r="B18" s="14">
        <f>MAX(Game_Data[Game #])</f>
        <v>38</v>
      </c>
      <c r="C18" s="15">
        <f>SUBTOTAL(9, HR[PA])</f>
        <v>1615</v>
      </c>
      <c r="D18" s="15">
        <f>SUBTOTAL(9, HR[HR])</f>
        <v>35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71"/>
    <col customWidth="1" min="2" max="2" width="23.14"/>
    <col customWidth="1" min="3" max="3" width="9.0"/>
    <col customWidth="1" min="4" max="5" width="10.43"/>
    <col customWidth="1" min="6" max="6" width="10.0"/>
    <col customWidth="1" min="7" max="7" width="10.43"/>
    <col customWidth="1" min="8" max="8" width="8.86"/>
    <col customWidth="1" min="9" max="9" width="9.0"/>
    <col customWidth="1" min="10" max="10" width="7.71"/>
    <col customWidth="1" min="11" max="14" width="8.86"/>
    <col customWidth="1" min="15" max="15" width="9.14"/>
    <col customWidth="1" min="16" max="16" width="8.86"/>
    <col customWidth="1" min="17" max="17" width="9.0"/>
    <col customWidth="1" min="18" max="18" width="8.71"/>
    <col customWidth="1" min="19" max="19" width="7.57"/>
    <col customWidth="1" min="20" max="20" width="8.71"/>
    <col customWidth="1" min="21" max="21" width="9.14"/>
    <col customWidth="1" min="22" max="22" width="8.86"/>
    <col customWidth="1" min="23" max="23" width="7.57"/>
    <col customWidth="1" min="24" max="24" width="9.57"/>
  </cols>
  <sheetData>
    <row r="1">
      <c r="C1" s="21" t="s">
        <v>43</v>
      </c>
      <c r="D1" s="22" t="s">
        <v>44</v>
      </c>
      <c r="G1" s="22"/>
    </row>
    <row r="2" ht="22.5" customHeight="1">
      <c r="A2" s="23" t="s">
        <v>45</v>
      </c>
      <c r="B2" s="24" t="s">
        <v>46</v>
      </c>
      <c r="C2" s="25" t="s">
        <v>21</v>
      </c>
      <c r="D2" s="25" t="s">
        <v>22</v>
      </c>
      <c r="E2" s="25" t="s">
        <v>23</v>
      </c>
      <c r="F2" s="25" t="s">
        <v>24</v>
      </c>
      <c r="G2" s="26" t="s">
        <v>2</v>
      </c>
      <c r="H2" s="27" t="s">
        <v>3</v>
      </c>
      <c r="I2" s="27" t="s">
        <v>4</v>
      </c>
      <c r="J2" s="26" t="s">
        <v>5</v>
      </c>
      <c r="K2" s="27" t="s">
        <v>6</v>
      </c>
      <c r="L2" s="27" t="s">
        <v>7</v>
      </c>
      <c r="M2" s="27" t="s">
        <v>8</v>
      </c>
      <c r="N2" s="26" t="s">
        <v>9</v>
      </c>
      <c r="O2" s="27" t="s">
        <v>10</v>
      </c>
      <c r="P2" s="27" t="s">
        <v>11</v>
      </c>
      <c r="Q2" s="27" t="s">
        <v>12</v>
      </c>
      <c r="R2" s="27" t="s">
        <v>13</v>
      </c>
      <c r="S2" s="25" t="s">
        <v>14</v>
      </c>
      <c r="T2" s="27" t="s">
        <v>16</v>
      </c>
      <c r="U2" s="27" t="s">
        <v>17</v>
      </c>
      <c r="V2" s="26" t="s">
        <v>19</v>
      </c>
      <c r="W2" s="26" t="s">
        <v>20</v>
      </c>
    </row>
    <row r="3" ht="22.5" customHeight="1">
      <c r="A3" s="28">
        <v>1.0</v>
      </c>
      <c r="B3" s="29" t="str">
        <f>IFNA(VLOOKUP($A3,Game_Data[],5,0),"")</f>
        <v>The Crew</v>
      </c>
      <c r="C3" s="30">
        <f t="shared" ref="C3:C41" si="1">IFERROR(I3/H3,"")</f>
        <v>0.3548387097</v>
      </c>
      <c r="D3" s="30">
        <f t="shared" ref="D3:D41" si="2">IFERROR((I3+P3)/G3,"")</f>
        <v>0.3548387097</v>
      </c>
      <c r="E3" s="30">
        <f t="shared" ref="E3:E41" si="3">IFERROR((J3+(K3*2)+(L3*3)+(M3*4)+(N3*4))/H3,"")</f>
        <v>0.4838709677</v>
      </c>
      <c r="F3" s="30">
        <f t="shared" ref="F3:F41" si="4">IF(ISBLANK(D3),"",D3+E3)</f>
        <v>0.8387096774</v>
      </c>
      <c r="G3" s="31">
        <f>IFERROR(__xludf.DUMMYFUNCTION("IFNA(FILTER(Game_Data[PA],Game_Data[Game #]=$A3,Game_Data[Player]=$D$1),"""")"),31.0)</f>
        <v>31</v>
      </c>
      <c r="H3" s="32">
        <f>IFERROR(__xludf.DUMMYFUNCTION("IFNA(FILTER(Game_Data[AB],Game_Data[Game #]=$A3,Game_Data[Player]=$D$1),"""")"),31.0)</f>
        <v>31</v>
      </c>
      <c r="I3" s="33">
        <f>IFERROR(__xludf.DUMMYFUNCTION("IFNA(FILTER(Game_Data[H],Game_Data[Game #]=$A3,Game_Data[Player]=$D$1),"""")"),11.0)</f>
        <v>11</v>
      </c>
      <c r="J3" s="34">
        <f>IFERROR(__xludf.DUMMYFUNCTION("IFNA(FILTER(Game_Data[1B],Game_Data[Game #]=$A3,Game_Data[Player]=$D$1),"""")"),8.0)</f>
        <v>8</v>
      </c>
      <c r="K3" s="34">
        <f>IFERROR(__xludf.DUMMYFUNCTION("IFNA(FILTER(Game_Data[2B],Game_Data[Game #]=$A3,Game_Data[Player]=$D$1),"""")"),2.0)</f>
        <v>2</v>
      </c>
      <c r="L3" s="34">
        <f>IFERROR(__xludf.DUMMYFUNCTION("IFNA(FILTER(Game_Data[3B],Game_Data[Game #]=$A3,Game_Data[Player]=$D$1),"""")"),1.0)</f>
        <v>1</v>
      </c>
      <c r="M3" s="34">
        <f>IFERROR(__xludf.DUMMYFUNCTION("IFNA(FILTER(Game_Data[4B],Game_Data[Game #]=$A3,Game_Data[Player]=$D$1),"""")"),0.0)</f>
        <v>0</v>
      </c>
      <c r="N3" s="34">
        <f>IFERROR(__xludf.DUMMYFUNCTION("IFNA(FILTER(Game_Data[HR],Game_Data[Game #]=$A3,Game_Data[Player]=$D$1),"""")"),0.0)</f>
        <v>0</v>
      </c>
      <c r="O3" s="34">
        <f>IFERROR(__xludf.DUMMYFUNCTION("IFNA(FILTER(Game_Data[FC],Game_Data[Game #]=$A3,Game_Data[Player]=$D$1),"""")"),1.0)</f>
        <v>1</v>
      </c>
      <c r="P3" s="34">
        <f>IFERROR(__xludf.DUMMYFUNCTION("IFNA(FILTER(Game_Data[BB],Game_Data[Game #]=$A3,Game_Data[Player]=$D$1),"""")"),0.0)</f>
        <v>0</v>
      </c>
      <c r="Q3" s="34">
        <f>IFERROR(__xludf.DUMMYFUNCTION("IFNA(FILTER(Game_Data[SF],Game_Data[Game #]=$A3,Game_Data[Player]=$D$1),"""")"),0.0)</f>
        <v>0</v>
      </c>
      <c r="R3" s="34">
        <f>IFERROR(__xludf.DUMMYFUNCTION("IFNA(FILTER(Game_Data[K],Game_Data[Game #]=$A3,Game_Data[Player]=$D$1),"""")"),0.0)</f>
        <v>0</v>
      </c>
      <c r="S3" s="34">
        <f>IFERROR(__xludf.DUMMYFUNCTION("IFNA(FILTER(Game_Data[KF],Game_Data[Game #]=$A3,Game_Data[Player]=$D$1),"""")"),0.0)</f>
        <v>0</v>
      </c>
      <c r="T3" s="34">
        <f>IFERROR(__xludf.DUMMYFUNCTION("IFNA(FILTER(Game_Data[GO],Game_Data[Game #]=$A3,Game_Data[Player]=$D$1),"""")"),9.0)</f>
        <v>9</v>
      </c>
      <c r="U3" s="34">
        <f>IFERROR(__xludf.DUMMYFUNCTION("IFNA(FILTER(Game_Data[FO],Game_Data[Game #]=$A3,Game_Data[Player]=$D$1),"""")"),10.0)</f>
        <v>10</v>
      </c>
      <c r="V3" s="34">
        <f>IFERROR(__xludf.DUMMYFUNCTION("IFNA(FILTER(Game_Data[R],Game_Data[Game #]=$A3,Game_Data[Player]=$D$1),"""")"),4.0)</f>
        <v>4</v>
      </c>
      <c r="W3" s="34">
        <f>IFERROR(__xludf.DUMMYFUNCTION("IFNA(FILTER(Game_Data[RBI],Game_Data[Game #]=$A3,Game_Data[Player]=$D$1),"""")"),4.0)</f>
        <v>4</v>
      </c>
    </row>
    <row r="4" ht="22.5" customHeight="1">
      <c r="A4" s="35">
        <v>2.0</v>
      </c>
      <c r="B4" s="36" t="str">
        <f>IFNA(VLOOKUP($A4,Game_Data[],5,0),"")</f>
        <v>The Crew</v>
      </c>
      <c r="C4" s="37">
        <f t="shared" si="1"/>
        <v>0.5833333333</v>
      </c>
      <c r="D4" s="37">
        <f t="shared" si="2"/>
        <v>0.5833333333</v>
      </c>
      <c r="E4" s="37">
        <f t="shared" si="3"/>
        <v>0.7291666667</v>
      </c>
      <c r="F4" s="37">
        <f t="shared" si="4"/>
        <v>1.3125</v>
      </c>
      <c r="G4" s="38">
        <f>IFERROR(__xludf.DUMMYFUNCTION("IFNA(FILTER(Game_Data[PA],Game_Data[Game #]=$A4,Game_Data[Player]=$D$1),"""")"),48.0)</f>
        <v>48</v>
      </c>
      <c r="H4" s="34">
        <f>IFERROR(__xludf.DUMMYFUNCTION("IFNA(FILTER(Game_Data[AB],Game_Data[Game #]=$A4,Game_Data[Player]=$D$1),"""")"),48.0)</f>
        <v>48</v>
      </c>
      <c r="I4" s="39">
        <f>IFERROR(__xludf.DUMMYFUNCTION("IFNA(FILTER(Game_Data[H],Game_Data[Game #]=$A4,Game_Data[Player]=$D$1),"""")"),28.0)</f>
        <v>28</v>
      </c>
      <c r="J4" s="34">
        <f>IFERROR(__xludf.DUMMYFUNCTION("IFNA(FILTER(Game_Data[1B],Game_Data[Game #]=$A4,Game_Data[Player]=$D$1),"""")"),21.0)</f>
        <v>21</v>
      </c>
      <c r="K4" s="34">
        <f>IFERROR(__xludf.DUMMYFUNCTION("IFNA(FILTER(Game_Data[2B],Game_Data[Game #]=$A4,Game_Data[Player]=$D$1),"""")"),7.0)</f>
        <v>7</v>
      </c>
      <c r="L4" s="34">
        <f>IFERROR(__xludf.DUMMYFUNCTION("IFNA(FILTER(Game_Data[3B],Game_Data[Game #]=$A4,Game_Data[Player]=$D$1),"""")"),0.0)</f>
        <v>0</v>
      </c>
      <c r="M4" s="34">
        <f>IFERROR(__xludf.DUMMYFUNCTION("IFNA(FILTER(Game_Data[4B],Game_Data[Game #]=$A4,Game_Data[Player]=$D$1),"""")"),0.0)</f>
        <v>0</v>
      </c>
      <c r="N4" s="34">
        <f>IFERROR(__xludf.DUMMYFUNCTION("IFNA(FILTER(Game_Data[HR],Game_Data[Game #]=$A4,Game_Data[Player]=$D$1),"""")"),0.0)</f>
        <v>0</v>
      </c>
      <c r="O4" s="34">
        <f>IFERROR(__xludf.DUMMYFUNCTION("IFNA(FILTER(Game_Data[FC],Game_Data[Game #]=$A4,Game_Data[Player]=$D$1),"""")"),0.0)</f>
        <v>0</v>
      </c>
      <c r="P4" s="34">
        <f>IFERROR(__xludf.DUMMYFUNCTION("IFNA(FILTER(Game_Data[BB],Game_Data[Game #]=$A4,Game_Data[Player]=$D$1),"""")"),0.0)</f>
        <v>0</v>
      </c>
      <c r="Q4" s="34">
        <f>IFERROR(__xludf.DUMMYFUNCTION("IFNA(FILTER(Game_Data[SF],Game_Data[Game #]=$A4,Game_Data[Player]=$D$1),"""")"),0.0)</f>
        <v>0</v>
      </c>
      <c r="R4" s="34">
        <f>IFERROR(__xludf.DUMMYFUNCTION("IFNA(FILTER(Game_Data[K],Game_Data[Game #]=$A4,Game_Data[Player]=$D$1),"""")"),0.0)</f>
        <v>0</v>
      </c>
      <c r="S4" s="34">
        <f>IFERROR(__xludf.DUMMYFUNCTION("IFNA(FILTER(Game_Data[KF],Game_Data[Game #]=$A4,Game_Data[Player]=$D$1),"""")"),0.0)</f>
        <v>0</v>
      </c>
      <c r="T4" s="34">
        <f>IFERROR(__xludf.DUMMYFUNCTION("IFNA(FILTER(Game_Data[GO],Game_Data[Game #]=$A4,Game_Data[Player]=$D$1),"""")"),6.0)</f>
        <v>6</v>
      </c>
      <c r="U4" s="34">
        <f>IFERROR(__xludf.DUMMYFUNCTION("IFNA(FILTER(Game_Data[FO],Game_Data[Game #]=$A4,Game_Data[Player]=$D$1),"""")"),14.0)</f>
        <v>14</v>
      </c>
      <c r="V4" s="34">
        <f>IFERROR(__xludf.DUMMYFUNCTION("IFNA(FILTER(Game_Data[R],Game_Data[Game #]=$A4,Game_Data[Player]=$D$1),"""")"),17.0)</f>
        <v>17</v>
      </c>
      <c r="W4" s="34">
        <f>IFERROR(__xludf.DUMMYFUNCTION("IFNA(FILTER(Game_Data[RBI],Game_Data[Game #]=$A4,Game_Data[Player]=$D$1),"""")"),17.0)</f>
        <v>17</v>
      </c>
    </row>
    <row r="5" ht="22.5" customHeight="1">
      <c r="A5" s="35">
        <v>3.0</v>
      </c>
      <c r="B5" s="36" t="str">
        <f>IFNA(VLOOKUP($A5,Game_Data[],5,0),"")</f>
        <v>Surge</v>
      </c>
      <c r="C5" s="37">
        <f t="shared" si="1"/>
        <v>0.6363636364</v>
      </c>
      <c r="D5" s="37">
        <f t="shared" si="2"/>
        <v>0.6304347826</v>
      </c>
      <c r="E5" s="37">
        <f t="shared" si="3"/>
        <v>1.022727273</v>
      </c>
      <c r="F5" s="37">
        <f t="shared" si="4"/>
        <v>1.653162055</v>
      </c>
      <c r="G5" s="38">
        <f>IFERROR(__xludf.DUMMYFUNCTION("IFNA(FILTER(Game_Data[PA],Game_Data[Game #]=$A5,Game_Data[Player]=$D$1),"""")"),46.0)</f>
        <v>46</v>
      </c>
      <c r="H5" s="34">
        <f>IFERROR(__xludf.DUMMYFUNCTION("IFNA(FILTER(Game_Data[AB],Game_Data[Game #]=$A5,Game_Data[Player]=$D$1),"""")"),44.0)</f>
        <v>44</v>
      </c>
      <c r="I5" s="39">
        <f>IFERROR(__xludf.DUMMYFUNCTION("IFNA(FILTER(Game_Data[H],Game_Data[Game #]=$A5,Game_Data[Player]=$D$1),"""")"),28.0)</f>
        <v>28</v>
      </c>
      <c r="J5" s="34">
        <f>IFERROR(__xludf.DUMMYFUNCTION("IFNA(FILTER(Game_Data[1B],Game_Data[Game #]=$A5,Game_Data[Player]=$D$1),"""")"),18.0)</f>
        <v>18</v>
      </c>
      <c r="K5" s="34">
        <f>IFERROR(__xludf.DUMMYFUNCTION("IFNA(FILTER(Game_Data[2B],Game_Data[Game #]=$A5,Game_Data[Player]=$D$1),"""")"),6.0)</f>
        <v>6</v>
      </c>
      <c r="L5" s="34">
        <f>IFERROR(__xludf.DUMMYFUNCTION("IFNA(FILTER(Game_Data[3B],Game_Data[Game #]=$A5,Game_Data[Player]=$D$1),"""")"),1.0)</f>
        <v>1</v>
      </c>
      <c r="M5" s="34">
        <f>IFERROR(__xludf.DUMMYFUNCTION("IFNA(FILTER(Game_Data[4B],Game_Data[Game #]=$A5,Game_Data[Player]=$D$1),"""")"),1.0)</f>
        <v>1</v>
      </c>
      <c r="N5" s="34">
        <f>IFERROR(__xludf.DUMMYFUNCTION("IFNA(FILTER(Game_Data[HR],Game_Data[Game #]=$A5,Game_Data[Player]=$D$1),"""")"),2.0)</f>
        <v>2</v>
      </c>
      <c r="O5" s="34">
        <f>IFERROR(__xludf.DUMMYFUNCTION("IFNA(FILTER(Game_Data[FC],Game_Data[Game #]=$A5,Game_Data[Player]=$D$1),"""")"),0.0)</f>
        <v>0</v>
      </c>
      <c r="P5" s="34">
        <f>IFERROR(__xludf.DUMMYFUNCTION("IFNA(FILTER(Game_Data[BB],Game_Data[Game #]=$A5,Game_Data[Player]=$D$1),"""")"),1.0)</f>
        <v>1</v>
      </c>
      <c r="Q5" s="34">
        <f>IFERROR(__xludf.DUMMYFUNCTION("IFNA(FILTER(Game_Data[SF],Game_Data[Game #]=$A5,Game_Data[Player]=$D$1),"""")"),1.0)</f>
        <v>1</v>
      </c>
      <c r="R5" s="34">
        <f>IFERROR(__xludf.DUMMYFUNCTION("IFNA(FILTER(Game_Data[K],Game_Data[Game #]=$A5,Game_Data[Player]=$D$1),"""")"),0.0)</f>
        <v>0</v>
      </c>
      <c r="S5" s="34">
        <f>IFERROR(__xludf.DUMMYFUNCTION("IFNA(FILTER(Game_Data[KF],Game_Data[Game #]=$A5,Game_Data[Player]=$D$1),"""")"),1.0)</f>
        <v>1</v>
      </c>
      <c r="T5" s="34">
        <f>IFERROR(__xludf.DUMMYFUNCTION("IFNA(FILTER(Game_Data[GO],Game_Data[Game #]=$A5,Game_Data[Player]=$D$1),"""")"),4.0)</f>
        <v>4</v>
      </c>
      <c r="U5" s="34">
        <f>IFERROR(__xludf.DUMMYFUNCTION("IFNA(FILTER(Game_Data[FO],Game_Data[Game #]=$A5,Game_Data[Player]=$D$1),"""")"),11.0)</f>
        <v>11</v>
      </c>
      <c r="V5" s="34">
        <f>IFERROR(__xludf.DUMMYFUNCTION("IFNA(FILTER(Game_Data[R],Game_Data[Game #]=$A5,Game_Data[Player]=$D$1),"""")"),20.0)</f>
        <v>20</v>
      </c>
      <c r="W5" s="34">
        <f>IFERROR(__xludf.DUMMYFUNCTION("IFNA(FILTER(Game_Data[RBI],Game_Data[Game #]=$A5,Game_Data[Player]=$D$1),"""")"),20.0)</f>
        <v>20</v>
      </c>
    </row>
    <row r="6" ht="22.5" customHeight="1">
      <c r="A6" s="35">
        <v>4.0</v>
      </c>
      <c r="B6" s="36" t="str">
        <f>IFNA(VLOOKUP($A6,Game_Data[],5,0),"")</f>
        <v>Inglorious Batters</v>
      </c>
      <c r="C6" s="37">
        <f t="shared" si="1"/>
        <v>0.6734693878</v>
      </c>
      <c r="D6" s="37">
        <f t="shared" si="2"/>
        <v>0.6346153846</v>
      </c>
      <c r="E6" s="37">
        <f t="shared" si="3"/>
        <v>1.081632653</v>
      </c>
      <c r="F6" s="37">
        <f t="shared" si="4"/>
        <v>1.716248038</v>
      </c>
      <c r="G6" s="38">
        <f>IFERROR(__xludf.DUMMYFUNCTION("IFNA(FILTER(Game_Data[PA],Game_Data[Game #]=$A6,Game_Data[Player]=$D$1),"""")"),52.0)</f>
        <v>52</v>
      </c>
      <c r="H6" s="34">
        <f>IFERROR(__xludf.DUMMYFUNCTION("IFNA(FILTER(Game_Data[AB],Game_Data[Game #]=$A6,Game_Data[Player]=$D$1),"""")"),49.0)</f>
        <v>49</v>
      </c>
      <c r="I6" s="39">
        <f>IFERROR(__xludf.DUMMYFUNCTION("IFNA(FILTER(Game_Data[H],Game_Data[Game #]=$A6,Game_Data[Player]=$D$1),"""")"),33.0)</f>
        <v>33</v>
      </c>
      <c r="J6" s="34">
        <f>IFERROR(__xludf.DUMMYFUNCTION("IFNA(FILTER(Game_Data[1B],Game_Data[Game #]=$A6,Game_Data[Player]=$D$1),"""")"),23.0)</f>
        <v>23</v>
      </c>
      <c r="K6" s="34">
        <f>IFERROR(__xludf.DUMMYFUNCTION("IFNA(FILTER(Game_Data[2B],Game_Data[Game #]=$A6,Game_Data[Player]=$D$1),"""")"),3.0)</f>
        <v>3</v>
      </c>
      <c r="L6" s="34">
        <f>IFERROR(__xludf.DUMMYFUNCTION("IFNA(FILTER(Game_Data[3B],Game_Data[Game #]=$A6,Game_Data[Player]=$D$1),"""")"),4.0)</f>
        <v>4</v>
      </c>
      <c r="M6" s="34">
        <f>IFERROR(__xludf.DUMMYFUNCTION("IFNA(FILTER(Game_Data[4B],Game_Data[Game #]=$A6,Game_Data[Player]=$D$1),"""")"),1.0)</f>
        <v>1</v>
      </c>
      <c r="N6" s="34">
        <f>IFERROR(__xludf.DUMMYFUNCTION("IFNA(FILTER(Game_Data[HR],Game_Data[Game #]=$A6,Game_Data[Player]=$D$1),"""")"),2.0)</f>
        <v>2</v>
      </c>
      <c r="O6" s="34">
        <f>IFERROR(__xludf.DUMMYFUNCTION("IFNA(FILTER(Game_Data[FC],Game_Data[Game #]=$A6,Game_Data[Player]=$D$1),"""")"),2.0)</f>
        <v>2</v>
      </c>
      <c r="P6" s="34">
        <f>IFERROR(__xludf.DUMMYFUNCTION("IFNA(FILTER(Game_Data[BB],Game_Data[Game #]=$A6,Game_Data[Player]=$D$1),"""")"),0.0)</f>
        <v>0</v>
      </c>
      <c r="Q6" s="34">
        <f>IFERROR(__xludf.DUMMYFUNCTION("IFNA(FILTER(Game_Data[SF],Game_Data[Game #]=$A6,Game_Data[Player]=$D$1),"""")"),3.0)</f>
        <v>3</v>
      </c>
      <c r="R6" s="34">
        <f>IFERROR(__xludf.DUMMYFUNCTION("IFNA(FILTER(Game_Data[K],Game_Data[Game #]=$A6,Game_Data[Player]=$D$1),"""")"),0.0)</f>
        <v>0</v>
      </c>
      <c r="S6" s="34">
        <f>IFERROR(__xludf.DUMMYFUNCTION("IFNA(FILTER(Game_Data[KF],Game_Data[Game #]=$A6,Game_Data[Player]=$D$1),"""")"),0.0)</f>
        <v>0</v>
      </c>
      <c r="T6" s="34">
        <f>IFERROR(__xludf.DUMMYFUNCTION("IFNA(FILTER(Game_Data[GO],Game_Data[Game #]=$A6,Game_Data[Player]=$D$1),"""")"),0.0)</f>
        <v>0</v>
      </c>
      <c r="U6" s="34">
        <f>IFERROR(__xludf.DUMMYFUNCTION("IFNA(FILTER(Game_Data[FO],Game_Data[Game #]=$A6,Game_Data[Player]=$D$1),"""")"),14.0)</f>
        <v>14</v>
      </c>
      <c r="V6" s="34">
        <f>IFERROR(__xludf.DUMMYFUNCTION("IFNA(FILTER(Game_Data[R],Game_Data[Game #]=$A6,Game_Data[Player]=$D$1),"""")"),25.0)</f>
        <v>25</v>
      </c>
      <c r="W6" s="34">
        <f>IFERROR(__xludf.DUMMYFUNCTION("IFNA(FILTER(Game_Data[RBI],Game_Data[Game #]=$A6,Game_Data[Player]=$D$1),"""")"),25.0)</f>
        <v>25</v>
      </c>
    </row>
    <row r="7" ht="22.5" customHeight="1">
      <c r="A7" s="35">
        <v>5.0</v>
      </c>
      <c r="B7" s="36" t="str">
        <f>IFNA(VLOOKUP($A7,Game_Data[],5,0),"")</f>
        <v>Greenthumbs</v>
      </c>
      <c r="C7" s="37">
        <f t="shared" si="1"/>
        <v>0.5675675676</v>
      </c>
      <c r="D7" s="37">
        <f t="shared" si="2"/>
        <v>0.5641025641</v>
      </c>
      <c r="E7" s="37">
        <f t="shared" si="3"/>
        <v>0.7567567568</v>
      </c>
      <c r="F7" s="37">
        <f t="shared" si="4"/>
        <v>1.320859321</v>
      </c>
      <c r="G7" s="38">
        <f>IFERROR(__xludf.DUMMYFUNCTION("IFNA(FILTER(Game_Data[PA],Game_Data[Game #]=$A7,Game_Data[Player]=$D$1),"""")"),39.0)</f>
        <v>39</v>
      </c>
      <c r="H7" s="34">
        <f>IFERROR(__xludf.DUMMYFUNCTION("IFNA(FILTER(Game_Data[AB],Game_Data[Game #]=$A7,Game_Data[Player]=$D$1),"""")"),37.0)</f>
        <v>37</v>
      </c>
      <c r="I7" s="39">
        <f>IFERROR(__xludf.DUMMYFUNCTION("IFNA(FILTER(Game_Data[H],Game_Data[Game #]=$A7,Game_Data[Player]=$D$1),"""")"),21.0)</f>
        <v>21</v>
      </c>
      <c r="J7" s="34">
        <f>IFERROR(__xludf.DUMMYFUNCTION("IFNA(FILTER(Game_Data[1B],Game_Data[Game #]=$A7,Game_Data[Player]=$D$1),"""")"),15.0)</f>
        <v>15</v>
      </c>
      <c r="K7" s="34">
        <f>IFERROR(__xludf.DUMMYFUNCTION("IFNA(FILTER(Game_Data[2B],Game_Data[Game #]=$A7,Game_Data[Player]=$D$1),"""")"),5.0)</f>
        <v>5</v>
      </c>
      <c r="L7" s="34">
        <f>IFERROR(__xludf.DUMMYFUNCTION("IFNA(FILTER(Game_Data[3B],Game_Data[Game #]=$A7,Game_Data[Player]=$D$1),"""")"),1.0)</f>
        <v>1</v>
      </c>
      <c r="M7" s="34">
        <f>IFERROR(__xludf.DUMMYFUNCTION("IFNA(FILTER(Game_Data[4B],Game_Data[Game #]=$A7,Game_Data[Player]=$D$1),"""")"),0.0)</f>
        <v>0</v>
      </c>
      <c r="N7" s="34">
        <f>IFERROR(__xludf.DUMMYFUNCTION("IFNA(FILTER(Game_Data[HR],Game_Data[Game #]=$A7,Game_Data[Player]=$D$1),"""")"),0.0)</f>
        <v>0</v>
      </c>
      <c r="O7" s="34">
        <f>IFERROR(__xludf.DUMMYFUNCTION("IFNA(FILTER(Game_Data[FC],Game_Data[Game #]=$A7,Game_Data[Player]=$D$1),"""")"),0.0)</f>
        <v>0</v>
      </c>
      <c r="P7" s="34">
        <f>IFERROR(__xludf.DUMMYFUNCTION("IFNA(FILTER(Game_Data[BB],Game_Data[Game #]=$A7,Game_Data[Player]=$D$1),"""")"),1.0)</f>
        <v>1</v>
      </c>
      <c r="Q7" s="34">
        <f>IFERROR(__xludf.DUMMYFUNCTION("IFNA(FILTER(Game_Data[SF],Game_Data[Game #]=$A7,Game_Data[Player]=$D$1),"""")"),1.0)</f>
        <v>1</v>
      </c>
      <c r="R7" s="34">
        <f>IFERROR(__xludf.DUMMYFUNCTION("IFNA(FILTER(Game_Data[K],Game_Data[Game #]=$A7,Game_Data[Player]=$D$1),"""")"),0.0)</f>
        <v>0</v>
      </c>
      <c r="S7" s="34">
        <f>IFERROR(__xludf.DUMMYFUNCTION("IFNA(FILTER(Game_Data[KF],Game_Data[Game #]=$A7,Game_Data[Player]=$D$1),"""")"),1.0)</f>
        <v>1</v>
      </c>
      <c r="T7" s="34">
        <f>IFERROR(__xludf.DUMMYFUNCTION("IFNA(FILTER(Game_Data[GO],Game_Data[Game #]=$A7,Game_Data[Player]=$D$1),"""")"),0.0)</f>
        <v>0</v>
      </c>
      <c r="U7" s="34">
        <f>IFERROR(__xludf.DUMMYFUNCTION("IFNA(FILTER(Game_Data[FO],Game_Data[Game #]=$A7,Game_Data[Player]=$D$1),"""")"),15.0)</f>
        <v>15</v>
      </c>
      <c r="V7" s="34">
        <f>IFERROR(__xludf.DUMMYFUNCTION("IFNA(FILTER(Game_Data[R],Game_Data[Game #]=$A7,Game_Data[Player]=$D$1),"""")"),15.0)</f>
        <v>15</v>
      </c>
      <c r="W7" s="34">
        <f>IFERROR(__xludf.DUMMYFUNCTION("IFNA(FILTER(Game_Data[RBI],Game_Data[Game #]=$A7,Game_Data[Player]=$D$1),"""")"),15.0)</f>
        <v>15</v>
      </c>
    </row>
    <row r="8" ht="22.5" customHeight="1">
      <c r="A8" s="35">
        <v>6.0</v>
      </c>
      <c r="B8" s="36" t="str">
        <f>IFNA(VLOOKUP($A8,Game_Data[],5,0),"")</f>
        <v>Falcons</v>
      </c>
      <c r="C8" s="37">
        <f t="shared" si="1"/>
        <v>0.4193548387</v>
      </c>
      <c r="D8" s="37">
        <f t="shared" si="2"/>
        <v>0.4242424242</v>
      </c>
      <c r="E8" s="37">
        <f t="shared" si="3"/>
        <v>0.4838709677</v>
      </c>
      <c r="F8" s="37">
        <f t="shared" si="4"/>
        <v>0.908113392</v>
      </c>
      <c r="G8" s="38">
        <f>IFERROR(__xludf.DUMMYFUNCTION("IFNA(FILTER(Game_Data[PA],Game_Data[Game #]=$A8,Game_Data[Player]=$D$1),"""")"),33.0)</f>
        <v>33</v>
      </c>
      <c r="H8" s="34">
        <f>IFERROR(__xludf.DUMMYFUNCTION("IFNA(FILTER(Game_Data[AB],Game_Data[Game #]=$A8,Game_Data[Player]=$D$1),"""")"),31.0)</f>
        <v>31</v>
      </c>
      <c r="I8" s="39">
        <f>IFERROR(__xludf.DUMMYFUNCTION("IFNA(FILTER(Game_Data[H],Game_Data[Game #]=$A8,Game_Data[Player]=$D$1),"""")"),13.0)</f>
        <v>13</v>
      </c>
      <c r="J8" s="34">
        <f>IFERROR(__xludf.DUMMYFUNCTION("IFNA(FILTER(Game_Data[1B],Game_Data[Game #]=$A8,Game_Data[Player]=$D$1),"""")"),11.0)</f>
        <v>11</v>
      </c>
      <c r="K8" s="34">
        <f>IFERROR(__xludf.DUMMYFUNCTION("IFNA(FILTER(Game_Data[2B],Game_Data[Game #]=$A8,Game_Data[Player]=$D$1),"""")"),2.0)</f>
        <v>2</v>
      </c>
      <c r="L8" s="34">
        <f>IFERROR(__xludf.DUMMYFUNCTION("IFNA(FILTER(Game_Data[3B],Game_Data[Game #]=$A8,Game_Data[Player]=$D$1),"""")"),0.0)</f>
        <v>0</v>
      </c>
      <c r="M8" s="34">
        <f>IFERROR(__xludf.DUMMYFUNCTION("IFNA(FILTER(Game_Data[4B],Game_Data[Game #]=$A8,Game_Data[Player]=$D$1),"""")"),0.0)</f>
        <v>0</v>
      </c>
      <c r="N8" s="34">
        <f>IFERROR(__xludf.DUMMYFUNCTION("IFNA(FILTER(Game_Data[HR],Game_Data[Game #]=$A8,Game_Data[Player]=$D$1),"""")"),0.0)</f>
        <v>0</v>
      </c>
      <c r="O8" s="34">
        <f>IFERROR(__xludf.DUMMYFUNCTION("IFNA(FILTER(Game_Data[FC],Game_Data[Game #]=$A8,Game_Data[Player]=$D$1),"""")"),2.0)</f>
        <v>2</v>
      </c>
      <c r="P8" s="34">
        <f>IFERROR(__xludf.DUMMYFUNCTION("IFNA(FILTER(Game_Data[BB],Game_Data[Game #]=$A8,Game_Data[Player]=$D$1),"""")"),1.0)</f>
        <v>1</v>
      </c>
      <c r="Q8" s="34">
        <f>IFERROR(__xludf.DUMMYFUNCTION("IFNA(FILTER(Game_Data[SF],Game_Data[Game #]=$A8,Game_Data[Player]=$D$1),"""")"),1.0)</f>
        <v>1</v>
      </c>
      <c r="R8" s="34">
        <f>IFERROR(__xludf.DUMMYFUNCTION("IFNA(FILTER(Game_Data[K],Game_Data[Game #]=$A8,Game_Data[Player]=$D$1),"""")"),0.0)</f>
        <v>0</v>
      </c>
      <c r="S8" s="34">
        <f>IFERROR(__xludf.DUMMYFUNCTION("IFNA(FILTER(Game_Data[KF],Game_Data[Game #]=$A8,Game_Data[Player]=$D$1),"""")"),1.0)</f>
        <v>1</v>
      </c>
      <c r="T8" s="34">
        <f>IFERROR(__xludf.DUMMYFUNCTION("IFNA(FILTER(Game_Data[GO],Game_Data[Game #]=$A8,Game_Data[Player]=$D$1),"""")"),2.0)</f>
        <v>2</v>
      </c>
      <c r="U8" s="34">
        <f>IFERROR(__xludf.DUMMYFUNCTION("IFNA(FILTER(Game_Data[FO],Game_Data[Game #]=$A8,Game_Data[Player]=$D$1),"""")"),13.0)</f>
        <v>13</v>
      </c>
      <c r="V8" s="34">
        <f>IFERROR(__xludf.DUMMYFUNCTION("IFNA(FILTER(Game_Data[R],Game_Data[Game #]=$A8,Game_Data[Player]=$D$1),"""")"),5.0)</f>
        <v>5</v>
      </c>
      <c r="W8" s="34">
        <f>IFERROR(__xludf.DUMMYFUNCTION("IFNA(FILTER(Game_Data[RBI],Game_Data[Game #]=$A8,Game_Data[Player]=$D$1),"""")"),5.0)</f>
        <v>5</v>
      </c>
    </row>
    <row r="9" ht="22.5" customHeight="1">
      <c r="A9" s="35">
        <v>7.0</v>
      </c>
      <c r="B9" s="36" t="str">
        <f>IFNA(VLOOKUP($A9,Game_Data[],5,0),"")</f>
        <v>Triple Play</v>
      </c>
      <c r="C9" s="37">
        <f t="shared" si="1"/>
        <v>0.619047619</v>
      </c>
      <c r="D9" s="37">
        <f t="shared" si="2"/>
        <v>0.6</v>
      </c>
      <c r="E9" s="37">
        <f t="shared" si="3"/>
        <v>0.9285714286</v>
      </c>
      <c r="F9" s="37">
        <f t="shared" si="4"/>
        <v>1.528571429</v>
      </c>
      <c r="G9" s="38">
        <f>IFERROR(__xludf.DUMMYFUNCTION("IFNA(FILTER(Game_Data[PA],Game_Data[Game #]=$A9,Game_Data[Player]=$D$1),"""")"),45.0)</f>
        <v>45</v>
      </c>
      <c r="H9" s="34">
        <f>IFERROR(__xludf.DUMMYFUNCTION("IFNA(FILTER(Game_Data[AB],Game_Data[Game #]=$A9,Game_Data[Player]=$D$1),"""")"),42.0)</f>
        <v>42</v>
      </c>
      <c r="I9" s="39">
        <f>IFERROR(__xludf.DUMMYFUNCTION("IFNA(FILTER(Game_Data[H],Game_Data[Game #]=$A9,Game_Data[Player]=$D$1),"""")"),26.0)</f>
        <v>26</v>
      </c>
      <c r="J9" s="34">
        <f>IFERROR(__xludf.DUMMYFUNCTION("IFNA(FILTER(Game_Data[1B],Game_Data[Game #]=$A9,Game_Data[Player]=$D$1),"""")"),19.0)</f>
        <v>19</v>
      </c>
      <c r="K9" s="34">
        <f>IFERROR(__xludf.DUMMYFUNCTION("IFNA(FILTER(Game_Data[2B],Game_Data[Game #]=$A9,Game_Data[Player]=$D$1),"""")"),4.0)</f>
        <v>4</v>
      </c>
      <c r="L9" s="34">
        <f>IFERROR(__xludf.DUMMYFUNCTION("IFNA(FILTER(Game_Data[3B],Game_Data[Game #]=$A9,Game_Data[Player]=$D$1),"""")"),0.0)</f>
        <v>0</v>
      </c>
      <c r="M9" s="34">
        <f>IFERROR(__xludf.DUMMYFUNCTION("IFNA(FILTER(Game_Data[4B],Game_Data[Game #]=$A9,Game_Data[Player]=$D$1),"""")"),0.0)</f>
        <v>0</v>
      </c>
      <c r="N9" s="34">
        <f>IFERROR(__xludf.DUMMYFUNCTION("IFNA(FILTER(Game_Data[HR],Game_Data[Game #]=$A9,Game_Data[Player]=$D$1),"""")"),3.0)</f>
        <v>3</v>
      </c>
      <c r="O9" s="34">
        <f>IFERROR(__xludf.DUMMYFUNCTION("IFNA(FILTER(Game_Data[FC],Game_Data[Game #]=$A9,Game_Data[Player]=$D$1),"""")"),3.0)</f>
        <v>3</v>
      </c>
      <c r="P9" s="34">
        <f>IFERROR(__xludf.DUMMYFUNCTION("IFNA(FILTER(Game_Data[BB],Game_Data[Game #]=$A9,Game_Data[Player]=$D$1),"""")"),1.0)</f>
        <v>1</v>
      </c>
      <c r="Q9" s="34">
        <f>IFERROR(__xludf.DUMMYFUNCTION("IFNA(FILTER(Game_Data[SF],Game_Data[Game #]=$A9,Game_Data[Player]=$D$1),"""")"),2.0)</f>
        <v>2</v>
      </c>
      <c r="R9" s="34">
        <f>IFERROR(__xludf.DUMMYFUNCTION("IFNA(FILTER(Game_Data[K],Game_Data[Game #]=$A9,Game_Data[Player]=$D$1),"""")"),0.0)</f>
        <v>0</v>
      </c>
      <c r="S9" s="34">
        <f>IFERROR(__xludf.DUMMYFUNCTION("IFNA(FILTER(Game_Data[KF],Game_Data[Game #]=$A9,Game_Data[Player]=$D$1),"""")"),0.0)</f>
        <v>0</v>
      </c>
      <c r="T9" s="34">
        <f>IFERROR(__xludf.DUMMYFUNCTION("IFNA(FILTER(Game_Data[GO],Game_Data[Game #]=$A9,Game_Data[Player]=$D$1),"""")"),2.0)</f>
        <v>2</v>
      </c>
      <c r="U9" s="34">
        <f>IFERROR(__xludf.DUMMYFUNCTION("IFNA(FILTER(Game_Data[FO],Game_Data[Game #]=$A9,Game_Data[Player]=$D$1),"""")"),11.0)</f>
        <v>11</v>
      </c>
      <c r="V9" s="34">
        <f>IFERROR(__xludf.DUMMYFUNCTION("IFNA(FILTER(Game_Data[R],Game_Data[Game #]=$A9,Game_Data[Player]=$D$1),"""")"),16.0)</f>
        <v>16</v>
      </c>
      <c r="W9" s="34">
        <f>IFERROR(__xludf.DUMMYFUNCTION("IFNA(FILTER(Game_Data[RBI],Game_Data[Game #]=$A9,Game_Data[Player]=$D$1),"""")"),16.0)</f>
        <v>16</v>
      </c>
    </row>
    <row r="10" ht="22.5" customHeight="1">
      <c r="A10" s="35">
        <v>8.0</v>
      </c>
      <c r="B10" s="36" t="str">
        <f>IFNA(VLOOKUP($A10,Game_Data[],5,0),"")</f>
        <v>Hanet Plastics</v>
      </c>
      <c r="C10" s="37">
        <f t="shared" si="1"/>
        <v>0.6052631579</v>
      </c>
      <c r="D10" s="37">
        <f t="shared" si="2"/>
        <v>0.6363636364</v>
      </c>
      <c r="E10" s="37">
        <f t="shared" si="3"/>
        <v>0.6842105263</v>
      </c>
      <c r="F10" s="37">
        <f t="shared" si="4"/>
        <v>1.320574163</v>
      </c>
      <c r="G10" s="38">
        <f>IFERROR(__xludf.DUMMYFUNCTION("IFNA(FILTER(Game_Data[PA],Game_Data[Game #]=$A10,Game_Data[Player]=$D$1),"""")"),44.0)</f>
        <v>44</v>
      </c>
      <c r="H10" s="34">
        <f>IFERROR(__xludf.DUMMYFUNCTION("IFNA(FILTER(Game_Data[AB],Game_Data[Game #]=$A10,Game_Data[Player]=$D$1),"""")"),38.0)</f>
        <v>38</v>
      </c>
      <c r="I10" s="39">
        <f>IFERROR(__xludf.DUMMYFUNCTION("IFNA(FILTER(Game_Data[H],Game_Data[Game #]=$A10,Game_Data[Player]=$D$1),"""")"),23.0)</f>
        <v>23</v>
      </c>
      <c r="J10" s="34">
        <f>IFERROR(__xludf.DUMMYFUNCTION("IFNA(FILTER(Game_Data[1B],Game_Data[Game #]=$A10,Game_Data[Player]=$D$1),"""")"),20.0)</f>
        <v>20</v>
      </c>
      <c r="K10" s="34">
        <f>IFERROR(__xludf.DUMMYFUNCTION("IFNA(FILTER(Game_Data[2B],Game_Data[Game #]=$A10,Game_Data[Player]=$D$1),"""")"),3.0)</f>
        <v>3</v>
      </c>
      <c r="L10" s="34">
        <f>IFERROR(__xludf.DUMMYFUNCTION("IFNA(FILTER(Game_Data[3B],Game_Data[Game #]=$A10,Game_Data[Player]=$D$1),"""")"),0.0)</f>
        <v>0</v>
      </c>
      <c r="M10" s="34">
        <f>IFERROR(__xludf.DUMMYFUNCTION("IFNA(FILTER(Game_Data[4B],Game_Data[Game #]=$A10,Game_Data[Player]=$D$1),"""")"),0.0)</f>
        <v>0</v>
      </c>
      <c r="N10" s="34">
        <f>IFERROR(__xludf.DUMMYFUNCTION("IFNA(FILTER(Game_Data[HR],Game_Data[Game #]=$A10,Game_Data[Player]=$D$1),"""")"),0.0)</f>
        <v>0</v>
      </c>
      <c r="O10" s="34">
        <f>IFERROR(__xludf.DUMMYFUNCTION("IFNA(FILTER(Game_Data[FC],Game_Data[Game #]=$A10,Game_Data[Player]=$D$1),"""")"),5.0)</f>
        <v>5</v>
      </c>
      <c r="P10" s="34">
        <f>IFERROR(__xludf.DUMMYFUNCTION("IFNA(FILTER(Game_Data[BB],Game_Data[Game #]=$A10,Game_Data[Player]=$D$1),"""")"),5.0)</f>
        <v>5</v>
      </c>
      <c r="Q10" s="34">
        <f>IFERROR(__xludf.DUMMYFUNCTION("IFNA(FILTER(Game_Data[SF],Game_Data[Game #]=$A10,Game_Data[Player]=$D$1),"""")"),1.0)</f>
        <v>1</v>
      </c>
      <c r="R10" s="34">
        <f>IFERROR(__xludf.DUMMYFUNCTION("IFNA(FILTER(Game_Data[K],Game_Data[Game #]=$A10,Game_Data[Player]=$D$1),"""")"),0.0)</f>
        <v>0</v>
      </c>
      <c r="S10" s="34">
        <f>IFERROR(__xludf.DUMMYFUNCTION("IFNA(FILTER(Game_Data[KF],Game_Data[Game #]=$A10,Game_Data[Player]=$D$1),"""")"),1.0)</f>
        <v>1</v>
      </c>
      <c r="T10" s="34">
        <f>IFERROR(__xludf.DUMMYFUNCTION("IFNA(FILTER(Game_Data[GO],Game_Data[Game #]=$A10,Game_Data[Player]=$D$1),"""")"),0.0)</f>
        <v>0</v>
      </c>
      <c r="U10" s="34">
        <f>IFERROR(__xludf.DUMMYFUNCTION("IFNA(FILTER(Game_Data[FO],Game_Data[Game #]=$A10,Game_Data[Player]=$D$1),"""")"),9.0)</f>
        <v>9</v>
      </c>
      <c r="V10" s="34">
        <f>IFERROR(__xludf.DUMMYFUNCTION("IFNA(FILTER(Game_Data[R],Game_Data[Game #]=$A10,Game_Data[Player]=$D$1),"""")"),16.0)</f>
        <v>16</v>
      </c>
      <c r="W10" s="34">
        <f>IFERROR(__xludf.DUMMYFUNCTION("IFNA(FILTER(Game_Data[RBI],Game_Data[Game #]=$A10,Game_Data[Player]=$D$1),"""")"),16.0)</f>
        <v>16</v>
      </c>
    </row>
    <row r="11" ht="22.5" customHeight="1">
      <c r="A11" s="35">
        <v>9.0</v>
      </c>
      <c r="B11" s="36" t="str">
        <f>IFNA(VLOOKUP($A11,Game_Data[],5,0),"")</f>
        <v>Broadway</v>
      </c>
      <c r="C11" s="37">
        <f t="shared" si="1"/>
        <v>0.511627907</v>
      </c>
      <c r="D11" s="37">
        <f t="shared" si="2"/>
        <v>0.5</v>
      </c>
      <c r="E11" s="37">
        <f t="shared" si="3"/>
        <v>0.5813953488</v>
      </c>
      <c r="F11" s="37">
        <f t="shared" si="4"/>
        <v>1.081395349</v>
      </c>
      <c r="G11" s="38">
        <f>IFERROR(__xludf.DUMMYFUNCTION("IFNA(FILTER(Game_Data[PA],Game_Data[Game #]=$A11,Game_Data[Player]=$D$1),"""")"),44.0)</f>
        <v>44</v>
      </c>
      <c r="H11" s="34">
        <f>IFERROR(__xludf.DUMMYFUNCTION("IFNA(FILTER(Game_Data[AB],Game_Data[Game #]=$A11,Game_Data[Player]=$D$1),"""")"),43.0)</f>
        <v>43</v>
      </c>
      <c r="I11" s="39">
        <f>IFERROR(__xludf.DUMMYFUNCTION("IFNA(FILTER(Game_Data[H],Game_Data[Game #]=$A11,Game_Data[Player]=$D$1),"""")"),22.0)</f>
        <v>22</v>
      </c>
      <c r="J11" s="34">
        <f>IFERROR(__xludf.DUMMYFUNCTION("IFNA(FILTER(Game_Data[1B],Game_Data[Game #]=$A11,Game_Data[Player]=$D$1),"""")"),20.0)</f>
        <v>20</v>
      </c>
      <c r="K11" s="34">
        <f>IFERROR(__xludf.DUMMYFUNCTION("IFNA(FILTER(Game_Data[2B],Game_Data[Game #]=$A11,Game_Data[Player]=$D$1),"""")"),1.0)</f>
        <v>1</v>
      </c>
      <c r="L11" s="34">
        <f>IFERROR(__xludf.DUMMYFUNCTION("IFNA(FILTER(Game_Data[3B],Game_Data[Game #]=$A11,Game_Data[Player]=$D$1),"""")"),1.0)</f>
        <v>1</v>
      </c>
      <c r="M11" s="34">
        <f>IFERROR(__xludf.DUMMYFUNCTION("IFNA(FILTER(Game_Data[4B],Game_Data[Game #]=$A11,Game_Data[Player]=$D$1),"""")"),0.0)</f>
        <v>0</v>
      </c>
      <c r="N11" s="34">
        <f>IFERROR(__xludf.DUMMYFUNCTION("IFNA(FILTER(Game_Data[HR],Game_Data[Game #]=$A11,Game_Data[Player]=$D$1),"""")"),0.0)</f>
        <v>0</v>
      </c>
      <c r="O11" s="34">
        <f>IFERROR(__xludf.DUMMYFUNCTION("IFNA(FILTER(Game_Data[FC],Game_Data[Game #]=$A11,Game_Data[Player]=$D$1),"""")"),3.0)</f>
        <v>3</v>
      </c>
      <c r="P11" s="34">
        <f>IFERROR(__xludf.DUMMYFUNCTION("IFNA(FILTER(Game_Data[BB],Game_Data[Game #]=$A11,Game_Data[Player]=$D$1),"""")"),0.0)</f>
        <v>0</v>
      </c>
      <c r="Q11" s="34">
        <f>IFERROR(__xludf.DUMMYFUNCTION("IFNA(FILTER(Game_Data[SF],Game_Data[Game #]=$A11,Game_Data[Player]=$D$1),"""")"),1.0)</f>
        <v>1</v>
      </c>
      <c r="R11" s="34">
        <f>IFERROR(__xludf.DUMMYFUNCTION("IFNA(FILTER(Game_Data[K],Game_Data[Game #]=$A11,Game_Data[Player]=$D$1),"""")"),0.0)</f>
        <v>0</v>
      </c>
      <c r="S11" s="34">
        <f>IFERROR(__xludf.DUMMYFUNCTION("IFNA(FILTER(Game_Data[KF],Game_Data[Game #]=$A11,Game_Data[Player]=$D$1),"""")"),0.0)</f>
        <v>0</v>
      </c>
      <c r="T11" s="34">
        <f>IFERROR(__xludf.DUMMYFUNCTION("IFNA(FILTER(Game_Data[GO],Game_Data[Game #]=$A11,Game_Data[Player]=$D$1),"""")"),5.0)</f>
        <v>5</v>
      </c>
      <c r="U11" s="34">
        <f>IFERROR(__xludf.DUMMYFUNCTION("IFNA(FILTER(Game_Data[FO],Game_Data[Game #]=$A11,Game_Data[Player]=$D$1),"""")"),13.0)</f>
        <v>13</v>
      </c>
      <c r="V11" s="34">
        <f>IFERROR(__xludf.DUMMYFUNCTION("IFNA(FILTER(Game_Data[R],Game_Data[Game #]=$A11,Game_Data[Player]=$D$1),"""")"),12.0)</f>
        <v>12</v>
      </c>
      <c r="W11" s="34">
        <f>IFERROR(__xludf.DUMMYFUNCTION("IFNA(FILTER(Game_Data[RBI],Game_Data[Game #]=$A11,Game_Data[Player]=$D$1),"""")"),12.0)</f>
        <v>12</v>
      </c>
    </row>
    <row r="12" ht="22.5" customHeight="1">
      <c r="A12" s="35">
        <v>10.0</v>
      </c>
      <c r="B12" s="36" t="str">
        <f>IFNA(VLOOKUP($A12,Game_Data[],5,0),"")</f>
        <v>Storm</v>
      </c>
      <c r="C12" s="37">
        <f t="shared" si="1"/>
        <v>0.5238095238</v>
      </c>
      <c r="D12" s="37">
        <f t="shared" si="2"/>
        <v>0.5333333333</v>
      </c>
      <c r="E12" s="37">
        <f t="shared" si="3"/>
        <v>0.6666666667</v>
      </c>
      <c r="F12" s="37">
        <f t="shared" si="4"/>
        <v>1.2</v>
      </c>
      <c r="G12" s="38">
        <f>IFERROR(__xludf.DUMMYFUNCTION("IFNA(FILTER(Game_Data[PA],Game_Data[Game #]=$A12,Game_Data[Player]=$D$1),"""")"),45.0)</f>
        <v>45</v>
      </c>
      <c r="H12" s="34">
        <f>IFERROR(__xludf.DUMMYFUNCTION("IFNA(FILTER(Game_Data[AB],Game_Data[Game #]=$A12,Game_Data[Player]=$D$1),"""")"),42.0)</f>
        <v>42</v>
      </c>
      <c r="I12" s="39">
        <f>IFERROR(__xludf.DUMMYFUNCTION("IFNA(FILTER(Game_Data[H],Game_Data[Game #]=$A12,Game_Data[Player]=$D$1),"""")"),22.0)</f>
        <v>22</v>
      </c>
      <c r="J12" s="34">
        <f>IFERROR(__xludf.DUMMYFUNCTION("IFNA(FILTER(Game_Data[1B],Game_Data[Game #]=$A12,Game_Data[Player]=$D$1),"""")"),18.0)</f>
        <v>18</v>
      </c>
      <c r="K12" s="34">
        <f>IFERROR(__xludf.DUMMYFUNCTION("IFNA(FILTER(Game_Data[2B],Game_Data[Game #]=$A12,Game_Data[Player]=$D$1),"""")"),3.0)</f>
        <v>3</v>
      </c>
      <c r="L12" s="34">
        <f>IFERROR(__xludf.DUMMYFUNCTION("IFNA(FILTER(Game_Data[3B],Game_Data[Game #]=$A12,Game_Data[Player]=$D$1),"""")"),0.0)</f>
        <v>0</v>
      </c>
      <c r="M12" s="34">
        <f>IFERROR(__xludf.DUMMYFUNCTION("IFNA(FILTER(Game_Data[4B],Game_Data[Game #]=$A12,Game_Data[Player]=$D$1),"""")"),0.0)</f>
        <v>0</v>
      </c>
      <c r="N12" s="34">
        <f>IFERROR(__xludf.DUMMYFUNCTION("IFNA(FILTER(Game_Data[HR],Game_Data[Game #]=$A12,Game_Data[Player]=$D$1),"""")"),1.0)</f>
        <v>1</v>
      </c>
      <c r="O12" s="34">
        <f>IFERROR(__xludf.DUMMYFUNCTION("IFNA(FILTER(Game_Data[FC],Game_Data[Game #]=$A12,Game_Data[Player]=$D$1),"""")"),6.0)</f>
        <v>6</v>
      </c>
      <c r="P12" s="34">
        <f>IFERROR(__xludf.DUMMYFUNCTION("IFNA(FILTER(Game_Data[BB],Game_Data[Game #]=$A12,Game_Data[Player]=$D$1),"""")"),2.0)</f>
        <v>2</v>
      </c>
      <c r="Q12" s="34">
        <f>IFERROR(__xludf.DUMMYFUNCTION("IFNA(FILTER(Game_Data[SF],Game_Data[Game #]=$A12,Game_Data[Player]=$D$1),"""")"),1.0)</f>
        <v>1</v>
      </c>
      <c r="R12" s="34">
        <f>IFERROR(__xludf.DUMMYFUNCTION("IFNA(FILTER(Game_Data[K],Game_Data[Game #]=$A12,Game_Data[Player]=$D$1),"""")"),0.0)</f>
        <v>0</v>
      </c>
      <c r="S12" s="34">
        <f>IFERROR(__xludf.DUMMYFUNCTION("IFNA(FILTER(Game_Data[KF],Game_Data[Game #]=$A12,Game_Data[Player]=$D$1),"""")"),0.0)</f>
        <v>0</v>
      </c>
      <c r="T12" s="34">
        <f>IFERROR(__xludf.DUMMYFUNCTION("IFNA(FILTER(Game_Data[GO],Game_Data[Game #]=$A12,Game_Data[Player]=$D$1),"""")"),2.0)</f>
        <v>2</v>
      </c>
      <c r="U12" s="34">
        <f>IFERROR(__xludf.DUMMYFUNCTION("IFNA(FILTER(Game_Data[FO],Game_Data[Game #]=$A12,Game_Data[Player]=$D$1),"""")"),12.0)</f>
        <v>12</v>
      </c>
      <c r="V12" s="34">
        <f>IFERROR(__xludf.DUMMYFUNCTION("IFNA(FILTER(Game_Data[R],Game_Data[Game #]=$A12,Game_Data[Player]=$D$1),"""")"),15.0)</f>
        <v>15</v>
      </c>
      <c r="W12" s="34">
        <f>IFERROR(__xludf.DUMMYFUNCTION("IFNA(FILTER(Game_Data[RBI],Game_Data[Game #]=$A12,Game_Data[Player]=$D$1),"""")"),15.0)</f>
        <v>15</v>
      </c>
    </row>
    <row r="13" ht="22.5" customHeight="1">
      <c r="A13" s="35">
        <v>11.0</v>
      </c>
      <c r="B13" s="36" t="str">
        <f>IFNA(VLOOKUP($A13,Game_Data[],5,0),"")</f>
        <v>Coulas Bone Crushers</v>
      </c>
      <c r="C13" s="37">
        <f t="shared" si="1"/>
        <v>0.5714285714</v>
      </c>
      <c r="D13" s="37">
        <f t="shared" si="2"/>
        <v>0.5454545455</v>
      </c>
      <c r="E13" s="37">
        <f t="shared" si="3"/>
        <v>0.7380952381</v>
      </c>
      <c r="F13" s="37">
        <f t="shared" si="4"/>
        <v>1.283549784</v>
      </c>
      <c r="G13" s="38">
        <f>IFERROR(__xludf.DUMMYFUNCTION("IFNA(FILTER(Game_Data[PA],Game_Data[Game #]=$A13,Game_Data[Player]=$D$1),"""")"),44.0)</f>
        <v>44</v>
      </c>
      <c r="H13" s="34">
        <f>IFERROR(__xludf.DUMMYFUNCTION("IFNA(FILTER(Game_Data[AB],Game_Data[Game #]=$A13,Game_Data[Player]=$D$1),"""")"),42.0)</f>
        <v>42</v>
      </c>
      <c r="I13" s="39">
        <f>IFERROR(__xludf.DUMMYFUNCTION("IFNA(FILTER(Game_Data[H],Game_Data[Game #]=$A13,Game_Data[Player]=$D$1),"""")"),24.0)</f>
        <v>24</v>
      </c>
      <c r="J13" s="34">
        <f>IFERROR(__xludf.DUMMYFUNCTION("IFNA(FILTER(Game_Data[1B],Game_Data[Game #]=$A13,Game_Data[Player]=$D$1),"""")"),19.0)</f>
        <v>19</v>
      </c>
      <c r="K13" s="34">
        <f>IFERROR(__xludf.DUMMYFUNCTION("IFNA(FILTER(Game_Data[2B],Game_Data[Game #]=$A13,Game_Data[Player]=$D$1),"""")"),3.0)</f>
        <v>3</v>
      </c>
      <c r="L13" s="34">
        <f>IFERROR(__xludf.DUMMYFUNCTION("IFNA(FILTER(Game_Data[3B],Game_Data[Game #]=$A13,Game_Data[Player]=$D$1),"""")"),2.0)</f>
        <v>2</v>
      </c>
      <c r="M13" s="34">
        <f>IFERROR(__xludf.DUMMYFUNCTION("IFNA(FILTER(Game_Data[4B],Game_Data[Game #]=$A13,Game_Data[Player]=$D$1),"""")"),0.0)</f>
        <v>0</v>
      </c>
      <c r="N13" s="34">
        <f>IFERROR(__xludf.DUMMYFUNCTION("IFNA(FILTER(Game_Data[HR],Game_Data[Game #]=$A13,Game_Data[Player]=$D$1),"""")"),0.0)</f>
        <v>0</v>
      </c>
      <c r="O13" s="34">
        <f>IFERROR(__xludf.DUMMYFUNCTION("IFNA(FILTER(Game_Data[FC],Game_Data[Game #]=$A13,Game_Data[Player]=$D$1),"""")"),1.0)</f>
        <v>1</v>
      </c>
      <c r="P13" s="34">
        <f>IFERROR(__xludf.DUMMYFUNCTION("IFNA(FILTER(Game_Data[BB],Game_Data[Game #]=$A13,Game_Data[Player]=$D$1),"""")"),0.0)</f>
        <v>0</v>
      </c>
      <c r="Q13" s="34">
        <f>IFERROR(__xludf.DUMMYFUNCTION("IFNA(FILTER(Game_Data[SF],Game_Data[Game #]=$A13,Game_Data[Player]=$D$1),"""")"),2.0)</f>
        <v>2</v>
      </c>
      <c r="R13" s="34">
        <f>IFERROR(__xludf.DUMMYFUNCTION("IFNA(FILTER(Game_Data[K],Game_Data[Game #]=$A13,Game_Data[Player]=$D$1),"""")"),1.0)</f>
        <v>1</v>
      </c>
      <c r="S13" s="34">
        <f>IFERROR(__xludf.DUMMYFUNCTION("IFNA(FILTER(Game_Data[KF],Game_Data[Game #]=$A13,Game_Data[Player]=$D$1),"""")"),1.0)</f>
        <v>1</v>
      </c>
      <c r="T13" s="34">
        <f>IFERROR(__xludf.DUMMYFUNCTION("IFNA(FILTER(Game_Data[GO],Game_Data[Game #]=$A13,Game_Data[Player]=$D$1),"""")"),3.0)</f>
        <v>3</v>
      </c>
      <c r="U13" s="34">
        <f>IFERROR(__xludf.DUMMYFUNCTION("IFNA(FILTER(Game_Data[FO],Game_Data[Game #]=$A13,Game_Data[Player]=$D$1),"""")"),12.0)</f>
        <v>12</v>
      </c>
      <c r="V13" s="34">
        <f>IFERROR(__xludf.DUMMYFUNCTION("IFNA(FILTER(Game_Data[R],Game_Data[Game #]=$A13,Game_Data[Player]=$D$1),"""")"),13.0)</f>
        <v>13</v>
      </c>
      <c r="W13" s="34">
        <f>IFERROR(__xludf.DUMMYFUNCTION("IFNA(FILTER(Game_Data[RBI],Game_Data[Game #]=$A13,Game_Data[Player]=$D$1),"""")"),13.0)</f>
        <v>13</v>
      </c>
    </row>
    <row r="14" ht="22.5" customHeight="1">
      <c r="A14" s="35">
        <v>12.0</v>
      </c>
      <c r="B14" s="36" t="str">
        <f>IFNA(VLOOKUP($A14,Game_Data[],5,0),"")</f>
        <v>Broadway</v>
      </c>
      <c r="C14" s="37">
        <f t="shared" si="1"/>
        <v>0.5142857143</v>
      </c>
      <c r="D14" s="37">
        <f t="shared" si="2"/>
        <v>0.5135135135</v>
      </c>
      <c r="E14" s="37">
        <f t="shared" si="3"/>
        <v>0.6</v>
      </c>
      <c r="F14" s="37">
        <f t="shared" si="4"/>
        <v>1.113513514</v>
      </c>
      <c r="G14" s="38">
        <f>IFERROR(__xludf.DUMMYFUNCTION("IFNA(FILTER(Game_Data[PA],Game_Data[Game #]=$A14,Game_Data[Player]=$D$1),"""")"),37.0)</f>
        <v>37</v>
      </c>
      <c r="H14" s="34">
        <f>IFERROR(__xludf.DUMMYFUNCTION("IFNA(FILTER(Game_Data[AB],Game_Data[Game #]=$A14,Game_Data[Player]=$D$1),"""")"),35.0)</f>
        <v>35</v>
      </c>
      <c r="I14" s="39">
        <f>IFERROR(__xludf.DUMMYFUNCTION("IFNA(FILTER(Game_Data[H],Game_Data[Game #]=$A14,Game_Data[Player]=$D$1),"""")"),18.0)</f>
        <v>18</v>
      </c>
      <c r="J14" s="34">
        <f>IFERROR(__xludf.DUMMYFUNCTION("IFNA(FILTER(Game_Data[1B],Game_Data[Game #]=$A14,Game_Data[Player]=$D$1),"""")"),15.0)</f>
        <v>15</v>
      </c>
      <c r="K14" s="34">
        <f>IFERROR(__xludf.DUMMYFUNCTION("IFNA(FILTER(Game_Data[2B],Game_Data[Game #]=$A14,Game_Data[Player]=$D$1),"""")"),3.0)</f>
        <v>3</v>
      </c>
      <c r="L14" s="34">
        <f>IFERROR(__xludf.DUMMYFUNCTION("IFNA(FILTER(Game_Data[3B],Game_Data[Game #]=$A14,Game_Data[Player]=$D$1),"""")"),0.0)</f>
        <v>0</v>
      </c>
      <c r="M14" s="34">
        <f>IFERROR(__xludf.DUMMYFUNCTION("IFNA(FILTER(Game_Data[4B],Game_Data[Game #]=$A14,Game_Data[Player]=$D$1),"""")"),0.0)</f>
        <v>0</v>
      </c>
      <c r="N14" s="34">
        <f>IFERROR(__xludf.DUMMYFUNCTION("IFNA(FILTER(Game_Data[HR],Game_Data[Game #]=$A14,Game_Data[Player]=$D$1),"""")"),0.0)</f>
        <v>0</v>
      </c>
      <c r="O14" s="34">
        <f>IFERROR(__xludf.DUMMYFUNCTION("IFNA(FILTER(Game_Data[FC],Game_Data[Game #]=$A14,Game_Data[Player]=$D$1),"""")"),3.0)</f>
        <v>3</v>
      </c>
      <c r="P14" s="34">
        <f>IFERROR(__xludf.DUMMYFUNCTION("IFNA(FILTER(Game_Data[BB],Game_Data[Game #]=$A14,Game_Data[Player]=$D$1),"""")"),1.0)</f>
        <v>1</v>
      </c>
      <c r="Q14" s="34">
        <f>IFERROR(__xludf.DUMMYFUNCTION("IFNA(FILTER(Game_Data[SF],Game_Data[Game #]=$A14,Game_Data[Player]=$D$1),"""")"),1.0)</f>
        <v>1</v>
      </c>
      <c r="R14" s="34">
        <f>IFERROR(__xludf.DUMMYFUNCTION("IFNA(FILTER(Game_Data[K],Game_Data[Game #]=$A14,Game_Data[Player]=$D$1),"""")"),0.0)</f>
        <v>0</v>
      </c>
      <c r="S14" s="34">
        <f>IFERROR(__xludf.DUMMYFUNCTION("IFNA(FILTER(Game_Data[KF],Game_Data[Game #]=$A14,Game_Data[Player]=$D$1),"""")"),0.0)</f>
        <v>0</v>
      </c>
      <c r="T14" s="34">
        <f>IFERROR(__xludf.DUMMYFUNCTION("IFNA(FILTER(Game_Data[GO],Game_Data[Game #]=$A14,Game_Data[Player]=$D$1),"""")"),3.0)</f>
        <v>3</v>
      </c>
      <c r="U14" s="34">
        <f>IFERROR(__xludf.DUMMYFUNCTION("IFNA(FILTER(Game_Data[FO],Game_Data[Game #]=$A14,Game_Data[Player]=$D$1),"""")"),11.0)</f>
        <v>11</v>
      </c>
      <c r="V14" s="34">
        <f>IFERROR(__xludf.DUMMYFUNCTION("IFNA(FILTER(Game_Data[R],Game_Data[Game #]=$A14,Game_Data[Player]=$D$1),"""")"),9.0)</f>
        <v>9</v>
      </c>
      <c r="W14" s="34">
        <f>IFERROR(__xludf.DUMMYFUNCTION("IFNA(FILTER(Game_Data[RBI],Game_Data[Game #]=$A14,Game_Data[Player]=$D$1),"""")"),9.0)</f>
        <v>9</v>
      </c>
    </row>
    <row r="15" ht="22.5" customHeight="1">
      <c r="A15" s="35">
        <v>13.0</v>
      </c>
      <c r="B15" s="36" t="str">
        <f>IFNA(VLOOKUP($A15,Game_Data[],5,0),"")</f>
        <v>Falcons</v>
      </c>
      <c r="C15" s="37">
        <f t="shared" si="1"/>
        <v>0.5227272727</v>
      </c>
      <c r="D15" s="37">
        <f t="shared" si="2"/>
        <v>0.5227272727</v>
      </c>
      <c r="E15" s="37">
        <f t="shared" si="3"/>
        <v>0.7045454545</v>
      </c>
      <c r="F15" s="37">
        <f t="shared" si="4"/>
        <v>1.227272727</v>
      </c>
      <c r="G15" s="38">
        <f>IFERROR(__xludf.DUMMYFUNCTION("IFNA(FILTER(Game_Data[PA],Game_Data[Game #]=$A15,Game_Data[Player]=$D$1),"""")"),44.0)</f>
        <v>44</v>
      </c>
      <c r="H15" s="34">
        <f>IFERROR(__xludf.DUMMYFUNCTION("IFNA(FILTER(Game_Data[AB],Game_Data[Game #]=$A15,Game_Data[Player]=$D$1),"""")"),44.0)</f>
        <v>44</v>
      </c>
      <c r="I15" s="39">
        <f>IFERROR(__xludf.DUMMYFUNCTION("IFNA(FILTER(Game_Data[H],Game_Data[Game #]=$A15,Game_Data[Player]=$D$1),"""")"),23.0)</f>
        <v>23</v>
      </c>
      <c r="J15" s="34">
        <f>IFERROR(__xludf.DUMMYFUNCTION("IFNA(FILTER(Game_Data[1B],Game_Data[Game #]=$A15,Game_Data[Player]=$D$1),"""")"),19.0)</f>
        <v>19</v>
      </c>
      <c r="K15" s="34">
        <f>IFERROR(__xludf.DUMMYFUNCTION("IFNA(FILTER(Game_Data[2B],Game_Data[Game #]=$A15,Game_Data[Player]=$D$1),"""")"),2.0)</f>
        <v>2</v>
      </c>
      <c r="L15" s="34">
        <f>IFERROR(__xludf.DUMMYFUNCTION("IFNA(FILTER(Game_Data[3B],Game_Data[Game #]=$A15,Game_Data[Player]=$D$1),"""")"),0.0)</f>
        <v>0</v>
      </c>
      <c r="M15" s="34">
        <f>IFERROR(__xludf.DUMMYFUNCTION("IFNA(FILTER(Game_Data[4B],Game_Data[Game #]=$A15,Game_Data[Player]=$D$1),"""")"),0.0)</f>
        <v>0</v>
      </c>
      <c r="N15" s="34">
        <f>IFERROR(__xludf.DUMMYFUNCTION("IFNA(FILTER(Game_Data[HR],Game_Data[Game #]=$A15,Game_Data[Player]=$D$1),"""")"),2.0)</f>
        <v>2</v>
      </c>
      <c r="O15" s="34">
        <f>IFERROR(__xludf.DUMMYFUNCTION("IFNA(FILTER(Game_Data[FC],Game_Data[Game #]=$A15,Game_Data[Player]=$D$1),"""")"),4.0)</f>
        <v>4</v>
      </c>
      <c r="P15" s="34">
        <f>IFERROR(__xludf.DUMMYFUNCTION("IFNA(FILTER(Game_Data[BB],Game_Data[Game #]=$A15,Game_Data[Player]=$D$1),"""")"),0.0)</f>
        <v>0</v>
      </c>
      <c r="Q15" s="34">
        <f>IFERROR(__xludf.DUMMYFUNCTION("IFNA(FILTER(Game_Data[SF],Game_Data[Game #]=$A15,Game_Data[Player]=$D$1),"""")"),0.0)</f>
        <v>0</v>
      </c>
      <c r="R15" s="34">
        <f>IFERROR(__xludf.DUMMYFUNCTION("IFNA(FILTER(Game_Data[K],Game_Data[Game #]=$A15,Game_Data[Player]=$D$1),"""")"),0.0)</f>
        <v>0</v>
      </c>
      <c r="S15" s="34">
        <f>IFERROR(__xludf.DUMMYFUNCTION("IFNA(FILTER(Game_Data[KF],Game_Data[Game #]=$A15,Game_Data[Player]=$D$1),"""")"),1.0)</f>
        <v>1</v>
      </c>
      <c r="T15" s="34">
        <f>IFERROR(__xludf.DUMMYFUNCTION("IFNA(FILTER(Game_Data[GO],Game_Data[Game #]=$A15,Game_Data[Player]=$D$1),"""")"),3.0)</f>
        <v>3</v>
      </c>
      <c r="U15" s="34">
        <f>IFERROR(__xludf.DUMMYFUNCTION("IFNA(FILTER(Game_Data[FO],Game_Data[Game #]=$A15,Game_Data[Player]=$D$1),"""")"),13.0)</f>
        <v>13</v>
      </c>
      <c r="V15" s="34">
        <f>IFERROR(__xludf.DUMMYFUNCTION("IFNA(FILTER(Game_Data[R],Game_Data[Game #]=$A15,Game_Data[Player]=$D$1),"""")"),15.0)</f>
        <v>15</v>
      </c>
      <c r="W15" s="34">
        <f>IFERROR(__xludf.DUMMYFUNCTION("IFNA(FILTER(Game_Data[RBI],Game_Data[Game #]=$A15,Game_Data[Player]=$D$1),"""")"),15.0)</f>
        <v>15</v>
      </c>
    </row>
    <row r="16" ht="22.5" customHeight="1">
      <c r="A16" s="35">
        <v>14.0</v>
      </c>
      <c r="B16" s="36" t="str">
        <f>IFNA(VLOOKUP($A16,Game_Data[],5,0),"")</f>
        <v>Triple Play</v>
      </c>
      <c r="C16" s="37">
        <f t="shared" si="1"/>
        <v>0.4482758621</v>
      </c>
      <c r="D16" s="37">
        <f t="shared" si="2"/>
        <v>0.4516129032</v>
      </c>
      <c r="E16" s="37">
        <f t="shared" si="3"/>
        <v>0.5862068966</v>
      </c>
      <c r="F16" s="37">
        <f t="shared" si="4"/>
        <v>1.0378198</v>
      </c>
      <c r="G16" s="38">
        <f>IFERROR(__xludf.DUMMYFUNCTION("IFNA(FILTER(Game_Data[PA],Game_Data[Game #]=$A16,Game_Data[Player]=$D$1),"""")"),31.0)</f>
        <v>31</v>
      </c>
      <c r="H16" s="34">
        <f>IFERROR(__xludf.DUMMYFUNCTION("IFNA(FILTER(Game_Data[AB],Game_Data[Game #]=$A16,Game_Data[Player]=$D$1),"""")"),29.0)</f>
        <v>29</v>
      </c>
      <c r="I16" s="39">
        <f>IFERROR(__xludf.DUMMYFUNCTION("IFNA(FILTER(Game_Data[H],Game_Data[Game #]=$A16,Game_Data[Player]=$D$1),"""")"),13.0)</f>
        <v>13</v>
      </c>
      <c r="J16" s="34">
        <f>IFERROR(__xludf.DUMMYFUNCTION("IFNA(FILTER(Game_Data[1B],Game_Data[Game #]=$A16,Game_Data[Player]=$D$1),"""")"),9.0)</f>
        <v>9</v>
      </c>
      <c r="K16" s="34">
        <f>IFERROR(__xludf.DUMMYFUNCTION("IFNA(FILTER(Game_Data[2B],Game_Data[Game #]=$A16,Game_Data[Player]=$D$1),"""")"),4.0)</f>
        <v>4</v>
      </c>
      <c r="L16" s="34">
        <f>IFERROR(__xludf.DUMMYFUNCTION("IFNA(FILTER(Game_Data[3B],Game_Data[Game #]=$A16,Game_Data[Player]=$D$1),"""")"),0.0)</f>
        <v>0</v>
      </c>
      <c r="M16" s="34">
        <f>IFERROR(__xludf.DUMMYFUNCTION("IFNA(FILTER(Game_Data[4B],Game_Data[Game #]=$A16,Game_Data[Player]=$D$1),"""")"),0.0)</f>
        <v>0</v>
      </c>
      <c r="N16" s="34">
        <f>IFERROR(__xludf.DUMMYFUNCTION("IFNA(FILTER(Game_Data[HR],Game_Data[Game #]=$A16,Game_Data[Player]=$D$1),"""")"),0.0)</f>
        <v>0</v>
      </c>
      <c r="O16" s="34">
        <f>IFERROR(__xludf.DUMMYFUNCTION("IFNA(FILTER(Game_Data[FC],Game_Data[Game #]=$A16,Game_Data[Player]=$D$1),"""")"),3.0)</f>
        <v>3</v>
      </c>
      <c r="P16" s="34">
        <f>IFERROR(__xludf.DUMMYFUNCTION("IFNA(FILTER(Game_Data[BB],Game_Data[Game #]=$A16,Game_Data[Player]=$D$1),"""")"),1.0)</f>
        <v>1</v>
      </c>
      <c r="Q16" s="34">
        <f>IFERROR(__xludf.DUMMYFUNCTION("IFNA(FILTER(Game_Data[SF],Game_Data[Game #]=$A16,Game_Data[Player]=$D$1),"""")"),1.0)</f>
        <v>1</v>
      </c>
      <c r="R16" s="34">
        <f>IFERROR(__xludf.DUMMYFUNCTION("IFNA(FILTER(Game_Data[K],Game_Data[Game #]=$A16,Game_Data[Player]=$D$1),"""")"),0.0)</f>
        <v>0</v>
      </c>
      <c r="S16" s="34">
        <f>IFERROR(__xludf.DUMMYFUNCTION("IFNA(FILTER(Game_Data[KF],Game_Data[Game #]=$A16,Game_Data[Player]=$D$1),"""")"),0.0)</f>
        <v>0</v>
      </c>
      <c r="T16" s="34">
        <f>IFERROR(__xludf.DUMMYFUNCTION("IFNA(FILTER(Game_Data[GO],Game_Data[Game #]=$A16,Game_Data[Player]=$D$1),"""")"),1.0)</f>
        <v>1</v>
      </c>
      <c r="U16" s="34">
        <f>IFERROR(__xludf.DUMMYFUNCTION("IFNA(FILTER(Game_Data[FO],Game_Data[Game #]=$A16,Game_Data[Player]=$D$1),"""")"),12.0)</f>
        <v>12</v>
      </c>
      <c r="V16" s="34">
        <f>IFERROR(__xludf.DUMMYFUNCTION("IFNA(FILTER(Game_Data[R],Game_Data[Game #]=$A16,Game_Data[Player]=$D$1),"""")"),9.0)</f>
        <v>9</v>
      </c>
      <c r="W16" s="34">
        <f>IFERROR(__xludf.DUMMYFUNCTION("IFNA(FILTER(Game_Data[RBI],Game_Data[Game #]=$A16,Game_Data[Player]=$D$1),"""")"),9.0)</f>
        <v>9</v>
      </c>
    </row>
    <row r="17" ht="22.5" customHeight="1">
      <c r="A17" s="35">
        <v>15.0</v>
      </c>
      <c r="B17" s="36" t="str">
        <f>IFNA(VLOOKUP($A17,Game_Data[],5,0),"")</f>
        <v>Greenthumbs</v>
      </c>
      <c r="C17" s="37">
        <f t="shared" si="1"/>
        <v>0.6</v>
      </c>
      <c r="D17" s="37">
        <f t="shared" si="2"/>
        <v>0.5777777778</v>
      </c>
      <c r="E17" s="37">
        <f t="shared" si="3"/>
        <v>1.025</v>
      </c>
      <c r="F17" s="37">
        <f t="shared" si="4"/>
        <v>1.602777778</v>
      </c>
      <c r="G17" s="38">
        <f>IFERROR(__xludf.DUMMYFUNCTION("IFNA(FILTER(Game_Data[PA],Game_Data[Game #]=$A17,Game_Data[Player]=$D$1),"""")"),45.0)</f>
        <v>45</v>
      </c>
      <c r="H17" s="34">
        <f>IFERROR(__xludf.DUMMYFUNCTION("IFNA(FILTER(Game_Data[AB],Game_Data[Game #]=$A17,Game_Data[Player]=$D$1),"""")"),40.0)</f>
        <v>40</v>
      </c>
      <c r="I17" s="39">
        <f>IFERROR(__xludf.DUMMYFUNCTION("IFNA(FILTER(Game_Data[H],Game_Data[Game #]=$A17,Game_Data[Player]=$D$1),"""")"),24.0)</f>
        <v>24</v>
      </c>
      <c r="J17" s="34">
        <f>IFERROR(__xludf.DUMMYFUNCTION("IFNA(FILTER(Game_Data[1B],Game_Data[Game #]=$A17,Game_Data[Player]=$D$1),"""")"),13.0)</f>
        <v>13</v>
      </c>
      <c r="K17" s="34">
        <f>IFERROR(__xludf.DUMMYFUNCTION("IFNA(FILTER(Game_Data[2B],Game_Data[Game #]=$A17,Game_Data[Player]=$D$1),"""")"),6.0)</f>
        <v>6</v>
      </c>
      <c r="L17" s="34">
        <f>IFERROR(__xludf.DUMMYFUNCTION("IFNA(FILTER(Game_Data[3B],Game_Data[Game #]=$A17,Game_Data[Player]=$D$1),"""")"),4.0)</f>
        <v>4</v>
      </c>
      <c r="M17" s="34">
        <f>IFERROR(__xludf.DUMMYFUNCTION("IFNA(FILTER(Game_Data[4B],Game_Data[Game #]=$A17,Game_Data[Player]=$D$1),"""")"),0.0)</f>
        <v>0</v>
      </c>
      <c r="N17" s="34">
        <f>IFERROR(__xludf.DUMMYFUNCTION("IFNA(FILTER(Game_Data[HR],Game_Data[Game #]=$A17,Game_Data[Player]=$D$1),"""")"),1.0)</f>
        <v>1</v>
      </c>
      <c r="O17" s="34">
        <f>IFERROR(__xludf.DUMMYFUNCTION("IFNA(FILTER(Game_Data[FC],Game_Data[Game #]=$A17,Game_Data[Player]=$D$1),"""")"),2.0)</f>
        <v>2</v>
      </c>
      <c r="P17" s="34">
        <f>IFERROR(__xludf.DUMMYFUNCTION("IFNA(FILTER(Game_Data[BB],Game_Data[Game #]=$A17,Game_Data[Player]=$D$1),"""")"),2.0)</f>
        <v>2</v>
      </c>
      <c r="Q17" s="34">
        <f>IFERROR(__xludf.DUMMYFUNCTION("IFNA(FILTER(Game_Data[SF],Game_Data[Game #]=$A17,Game_Data[Player]=$D$1),"""")"),3.0)</f>
        <v>3</v>
      </c>
      <c r="R17" s="34">
        <f>IFERROR(__xludf.DUMMYFUNCTION("IFNA(FILTER(Game_Data[K],Game_Data[Game #]=$A17,Game_Data[Player]=$D$1),"""")"),0.0)</f>
        <v>0</v>
      </c>
      <c r="S17" s="34">
        <f>IFERROR(__xludf.DUMMYFUNCTION("IFNA(FILTER(Game_Data[KF],Game_Data[Game #]=$A17,Game_Data[Player]=$D$1),"""")"),0.0)</f>
        <v>0</v>
      </c>
      <c r="T17" s="34">
        <f>IFERROR(__xludf.DUMMYFUNCTION("IFNA(FILTER(Game_Data[GO],Game_Data[Game #]=$A17,Game_Data[Player]=$D$1),"""")"),0.0)</f>
        <v>0</v>
      </c>
      <c r="U17" s="34">
        <f>IFERROR(__xludf.DUMMYFUNCTION("IFNA(FILTER(Game_Data[FO],Game_Data[Game #]=$A17,Game_Data[Player]=$D$1),"""")"),14.0)</f>
        <v>14</v>
      </c>
      <c r="V17" s="34">
        <f>IFERROR(__xludf.DUMMYFUNCTION("IFNA(FILTER(Game_Data[R],Game_Data[Game #]=$A17,Game_Data[Player]=$D$1),"""")"),17.0)</f>
        <v>17</v>
      </c>
      <c r="W17" s="34">
        <f>IFERROR(__xludf.DUMMYFUNCTION("IFNA(FILTER(Game_Data[RBI],Game_Data[Game #]=$A17,Game_Data[Player]=$D$1),"""")"),17.0)</f>
        <v>17</v>
      </c>
    </row>
    <row r="18" ht="22.5" customHeight="1">
      <c r="A18" s="35">
        <v>16.0</v>
      </c>
      <c r="B18" s="36" t="str">
        <f>IFNA(VLOOKUP($A18,Game_Data[],5,0),"")</f>
        <v>Surge</v>
      </c>
      <c r="C18" s="37">
        <f t="shared" si="1"/>
        <v>0.6590909091</v>
      </c>
      <c r="D18" s="37">
        <f t="shared" si="2"/>
        <v>0.6382978723</v>
      </c>
      <c r="E18" s="37">
        <f t="shared" si="3"/>
        <v>1</v>
      </c>
      <c r="F18" s="37">
        <f t="shared" si="4"/>
        <v>1.638297872</v>
      </c>
      <c r="G18" s="38">
        <f>IFERROR(__xludf.DUMMYFUNCTION("IFNA(FILTER(Game_Data[PA],Game_Data[Game #]=$A18,Game_Data[Player]=$D$1),"""")"),47.0)</f>
        <v>47</v>
      </c>
      <c r="H18" s="34">
        <f>IFERROR(__xludf.DUMMYFUNCTION("IFNA(FILTER(Game_Data[AB],Game_Data[Game #]=$A18,Game_Data[Player]=$D$1),"""")"),44.0)</f>
        <v>44</v>
      </c>
      <c r="I18" s="39">
        <f>IFERROR(__xludf.DUMMYFUNCTION("IFNA(FILTER(Game_Data[H],Game_Data[Game #]=$A18,Game_Data[Player]=$D$1),"""")"),29.0)</f>
        <v>29</v>
      </c>
      <c r="J18" s="34">
        <f>IFERROR(__xludf.DUMMYFUNCTION("IFNA(FILTER(Game_Data[1B],Game_Data[Game #]=$A18,Game_Data[Player]=$D$1),"""")"),18.0)</f>
        <v>18</v>
      </c>
      <c r="K18" s="34">
        <f>IFERROR(__xludf.DUMMYFUNCTION("IFNA(FILTER(Game_Data[2B],Game_Data[Game #]=$A18,Game_Data[Player]=$D$1),"""")"),7.0)</f>
        <v>7</v>
      </c>
      <c r="L18" s="34">
        <f>IFERROR(__xludf.DUMMYFUNCTION("IFNA(FILTER(Game_Data[3B],Game_Data[Game #]=$A18,Game_Data[Player]=$D$1),"""")"),4.0)</f>
        <v>4</v>
      </c>
      <c r="M18" s="34">
        <f>IFERROR(__xludf.DUMMYFUNCTION("IFNA(FILTER(Game_Data[4B],Game_Data[Game #]=$A18,Game_Data[Player]=$D$1),"""")"),0.0)</f>
        <v>0</v>
      </c>
      <c r="N18" s="34">
        <f>IFERROR(__xludf.DUMMYFUNCTION("IFNA(FILTER(Game_Data[HR],Game_Data[Game #]=$A18,Game_Data[Player]=$D$1),"""")"),0.0)</f>
        <v>0</v>
      </c>
      <c r="O18" s="34">
        <f>IFERROR(__xludf.DUMMYFUNCTION("IFNA(FILTER(Game_Data[FC],Game_Data[Game #]=$A18,Game_Data[Player]=$D$1),"""")"),0.0)</f>
        <v>0</v>
      </c>
      <c r="P18" s="34">
        <f>IFERROR(__xludf.DUMMYFUNCTION("IFNA(FILTER(Game_Data[BB],Game_Data[Game #]=$A18,Game_Data[Player]=$D$1),"""")"),1.0)</f>
        <v>1</v>
      </c>
      <c r="Q18" s="34">
        <f>IFERROR(__xludf.DUMMYFUNCTION("IFNA(FILTER(Game_Data[SF],Game_Data[Game #]=$A18,Game_Data[Player]=$D$1),"""")"),2.0)</f>
        <v>2</v>
      </c>
      <c r="R18" s="34">
        <f>IFERROR(__xludf.DUMMYFUNCTION("IFNA(FILTER(Game_Data[K],Game_Data[Game #]=$A18,Game_Data[Player]=$D$1),"""")"),0.0)</f>
        <v>0</v>
      </c>
      <c r="S18" s="34">
        <f>IFERROR(__xludf.DUMMYFUNCTION("IFNA(FILTER(Game_Data[KF],Game_Data[Game #]=$A18,Game_Data[Player]=$D$1),"""")"),0.0)</f>
        <v>0</v>
      </c>
      <c r="T18" s="34">
        <f>IFERROR(__xludf.DUMMYFUNCTION("IFNA(FILTER(Game_Data[GO],Game_Data[Game #]=$A18,Game_Data[Player]=$D$1),"""")"),2.0)</f>
        <v>2</v>
      </c>
      <c r="U18" s="34">
        <f>IFERROR(__xludf.DUMMYFUNCTION("IFNA(FILTER(Game_Data[FO],Game_Data[Game #]=$A18,Game_Data[Player]=$D$1),"""")"),13.0)</f>
        <v>13</v>
      </c>
      <c r="V18" s="34">
        <f>IFERROR(__xludf.DUMMYFUNCTION("IFNA(FILTER(Game_Data[R],Game_Data[Game #]=$A18,Game_Data[Player]=$D$1),"""")"),19.0)</f>
        <v>19</v>
      </c>
      <c r="W18" s="34">
        <f>IFERROR(__xludf.DUMMYFUNCTION("IFNA(FILTER(Game_Data[RBI],Game_Data[Game #]=$A18,Game_Data[Player]=$D$1),"""")"),19.0)</f>
        <v>19</v>
      </c>
    </row>
    <row r="19" ht="22.5" customHeight="1">
      <c r="A19" s="35">
        <v>17.0</v>
      </c>
      <c r="B19" s="36" t="str">
        <f>IFNA(VLOOKUP($A19,Game_Data[],5,0),"")</f>
        <v>Storm</v>
      </c>
      <c r="C19" s="37">
        <f t="shared" si="1"/>
        <v>0.5714285714</v>
      </c>
      <c r="D19" s="37">
        <f t="shared" si="2"/>
        <v>0.5897435897</v>
      </c>
      <c r="E19" s="37">
        <f t="shared" si="3"/>
        <v>0.9428571429</v>
      </c>
      <c r="F19" s="37">
        <f t="shared" si="4"/>
        <v>1.532600733</v>
      </c>
      <c r="G19" s="38">
        <f>IFERROR(__xludf.DUMMYFUNCTION("IFNA(FILTER(Game_Data[PA],Game_Data[Game #]=$A19,Game_Data[Player]=$D$1),"""")"),39.0)</f>
        <v>39</v>
      </c>
      <c r="H19" s="34">
        <f>IFERROR(__xludf.DUMMYFUNCTION("IFNA(FILTER(Game_Data[AB],Game_Data[Game #]=$A19,Game_Data[Player]=$D$1),"""")"),35.0)</f>
        <v>35</v>
      </c>
      <c r="I19" s="39">
        <f>IFERROR(__xludf.DUMMYFUNCTION("IFNA(FILTER(Game_Data[H],Game_Data[Game #]=$A19,Game_Data[Player]=$D$1),"""")"),20.0)</f>
        <v>20</v>
      </c>
      <c r="J19" s="34">
        <f>IFERROR(__xludf.DUMMYFUNCTION("IFNA(FILTER(Game_Data[1B],Game_Data[Game #]=$A19,Game_Data[Player]=$D$1),"""")"),13.0)</f>
        <v>13</v>
      </c>
      <c r="K19" s="34">
        <f>IFERROR(__xludf.DUMMYFUNCTION("IFNA(FILTER(Game_Data[2B],Game_Data[Game #]=$A19,Game_Data[Player]=$D$1),"""")"),3.0)</f>
        <v>3</v>
      </c>
      <c r="L19" s="34">
        <f>IFERROR(__xludf.DUMMYFUNCTION("IFNA(FILTER(Game_Data[3B],Game_Data[Game #]=$A19,Game_Data[Player]=$D$1),"""")"),2.0)</f>
        <v>2</v>
      </c>
      <c r="M19" s="34">
        <f>IFERROR(__xludf.DUMMYFUNCTION("IFNA(FILTER(Game_Data[4B],Game_Data[Game #]=$A19,Game_Data[Player]=$D$1),"""")"),0.0)</f>
        <v>0</v>
      </c>
      <c r="N19" s="34">
        <f>IFERROR(__xludf.DUMMYFUNCTION("IFNA(FILTER(Game_Data[HR],Game_Data[Game #]=$A19,Game_Data[Player]=$D$1),"""")"),2.0)</f>
        <v>2</v>
      </c>
      <c r="O19" s="34">
        <f>IFERROR(__xludf.DUMMYFUNCTION("IFNA(FILTER(Game_Data[FC],Game_Data[Game #]=$A19,Game_Data[Player]=$D$1),"""")"),1.0)</f>
        <v>1</v>
      </c>
      <c r="P19" s="34">
        <f>IFERROR(__xludf.DUMMYFUNCTION("IFNA(FILTER(Game_Data[BB],Game_Data[Game #]=$A19,Game_Data[Player]=$D$1),"""")"),3.0)</f>
        <v>3</v>
      </c>
      <c r="Q19" s="34">
        <f>IFERROR(__xludf.DUMMYFUNCTION("IFNA(FILTER(Game_Data[SF],Game_Data[Game #]=$A19,Game_Data[Player]=$D$1),"""")"),1.0)</f>
        <v>1</v>
      </c>
      <c r="R19" s="34">
        <f>IFERROR(__xludf.DUMMYFUNCTION("IFNA(FILTER(Game_Data[K],Game_Data[Game #]=$A19,Game_Data[Player]=$D$1),"""")"),0.0)</f>
        <v>0</v>
      </c>
      <c r="S19" s="34">
        <f>IFERROR(__xludf.DUMMYFUNCTION("IFNA(FILTER(Game_Data[KF],Game_Data[Game #]=$A19,Game_Data[Player]=$D$1),"""")"),1.0)</f>
        <v>1</v>
      </c>
      <c r="T19" s="34">
        <f>IFERROR(__xludf.DUMMYFUNCTION("IFNA(FILTER(Game_Data[GO],Game_Data[Game #]=$A19,Game_Data[Player]=$D$1),"""")"),2.0)</f>
        <v>2</v>
      </c>
      <c r="U19" s="34">
        <f>IFERROR(__xludf.DUMMYFUNCTION("IFNA(FILTER(Game_Data[FO],Game_Data[Game #]=$A19,Game_Data[Player]=$D$1),"""")"),11.0)</f>
        <v>11</v>
      </c>
      <c r="V19" s="34">
        <f>IFERROR(__xludf.DUMMYFUNCTION("IFNA(FILTER(Game_Data[R],Game_Data[Game #]=$A19,Game_Data[Player]=$D$1),"""")"),14.0)</f>
        <v>14</v>
      </c>
      <c r="W19" s="34">
        <f>IFERROR(__xludf.DUMMYFUNCTION("IFNA(FILTER(Game_Data[RBI],Game_Data[Game #]=$A19,Game_Data[Player]=$D$1),"""")"),14.0)</f>
        <v>14</v>
      </c>
    </row>
    <row r="20" ht="22.5" customHeight="1">
      <c r="A20" s="35">
        <v>18.0</v>
      </c>
      <c r="B20" s="36" t="str">
        <f>IFNA(VLOOKUP($A20,Game_Data[],5,0),"")</f>
        <v>Broadway</v>
      </c>
      <c r="C20" s="37">
        <f t="shared" si="1"/>
        <v>0.4871794872</v>
      </c>
      <c r="D20" s="37">
        <f t="shared" si="2"/>
        <v>0.5348837209</v>
      </c>
      <c r="E20" s="37">
        <f t="shared" si="3"/>
        <v>0.6923076923</v>
      </c>
      <c r="F20" s="37">
        <f t="shared" si="4"/>
        <v>1.227191413</v>
      </c>
      <c r="G20" s="38">
        <f>IFERROR(__xludf.DUMMYFUNCTION("IFNA(FILTER(Game_Data[PA],Game_Data[Game #]=$A20,Game_Data[Player]=$D$1),"""")"),43.0)</f>
        <v>43</v>
      </c>
      <c r="H20" s="34">
        <f>IFERROR(__xludf.DUMMYFUNCTION("IFNA(FILTER(Game_Data[AB],Game_Data[Game #]=$A20,Game_Data[Player]=$D$1),"""")"),39.0)</f>
        <v>39</v>
      </c>
      <c r="I20" s="39">
        <f>IFERROR(__xludf.DUMMYFUNCTION("IFNA(FILTER(Game_Data[H],Game_Data[Game #]=$A20,Game_Data[Player]=$D$1),"""")"),19.0)</f>
        <v>19</v>
      </c>
      <c r="J20" s="34">
        <f>IFERROR(__xludf.DUMMYFUNCTION("IFNA(FILTER(Game_Data[1B],Game_Data[Game #]=$A20,Game_Data[Player]=$D$1),"""")"),15.0)</f>
        <v>15</v>
      </c>
      <c r="K20" s="34">
        <f>IFERROR(__xludf.DUMMYFUNCTION("IFNA(FILTER(Game_Data[2B],Game_Data[Game #]=$A20,Game_Data[Player]=$D$1),"""")"),2.0)</f>
        <v>2</v>
      </c>
      <c r="L20" s="34">
        <f>IFERROR(__xludf.DUMMYFUNCTION("IFNA(FILTER(Game_Data[3B],Game_Data[Game #]=$A20,Game_Data[Player]=$D$1),"""")"),0.0)</f>
        <v>0</v>
      </c>
      <c r="M20" s="34">
        <f>IFERROR(__xludf.DUMMYFUNCTION("IFNA(FILTER(Game_Data[4B],Game_Data[Game #]=$A20,Game_Data[Player]=$D$1),"""")"),0.0)</f>
        <v>0</v>
      </c>
      <c r="N20" s="34">
        <f>IFERROR(__xludf.DUMMYFUNCTION("IFNA(FILTER(Game_Data[HR],Game_Data[Game #]=$A20,Game_Data[Player]=$D$1),"""")"),2.0)</f>
        <v>2</v>
      </c>
      <c r="O20" s="34">
        <f>IFERROR(__xludf.DUMMYFUNCTION("IFNA(FILTER(Game_Data[FC],Game_Data[Game #]=$A20,Game_Data[Player]=$D$1),"""")"),1.0)</f>
        <v>1</v>
      </c>
      <c r="P20" s="34">
        <f>IFERROR(__xludf.DUMMYFUNCTION("IFNA(FILTER(Game_Data[BB],Game_Data[Game #]=$A20,Game_Data[Player]=$D$1),"""")"),4.0)</f>
        <v>4</v>
      </c>
      <c r="Q20" s="34">
        <f>IFERROR(__xludf.DUMMYFUNCTION("IFNA(FILTER(Game_Data[SF],Game_Data[Game #]=$A20,Game_Data[Player]=$D$1),"""")"),0.0)</f>
        <v>0</v>
      </c>
      <c r="R20" s="34">
        <f>IFERROR(__xludf.DUMMYFUNCTION("IFNA(FILTER(Game_Data[K],Game_Data[Game #]=$A20,Game_Data[Player]=$D$1),"""")"),0.0)</f>
        <v>0</v>
      </c>
      <c r="S20" s="34">
        <f>IFERROR(__xludf.DUMMYFUNCTION("IFNA(FILTER(Game_Data[KF],Game_Data[Game #]=$A20,Game_Data[Player]=$D$1),"""")"),0.0)</f>
        <v>0</v>
      </c>
      <c r="T20" s="34">
        <f>IFERROR(__xludf.DUMMYFUNCTION("IFNA(FILTER(Game_Data[GO],Game_Data[Game #]=$A20,Game_Data[Player]=$D$1),"""")"),5.0)</f>
        <v>5</v>
      </c>
      <c r="U20" s="34">
        <f>IFERROR(__xludf.DUMMYFUNCTION("IFNA(FILTER(Game_Data[FO],Game_Data[Game #]=$A20,Game_Data[Player]=$D$1),"""")"),14.0)</f>
        <v>14</v>
      </c>
      <c r="V20" s="34">
        <f>IFERROR(__xludf.DUMMYFUNCTION("IFNA(FILTER(Game_Data[R],Game_Data[Game #]=$A20,Game_Data[Player]=$D$1),"""")"),14.0)</f>
        <v>14</v>
      </c>
      <c r="W20" s="34">
        <f>IFERROR(__xludf.DUMMYFUNCTION("IFNA(FILTER(Game_Data[RBI],Game_Data[Game #]=$A20,Game_Data[Player]=$D$1),"""")"),14.0)</f>
        <v>14</v>
      </c>
    </row>
    <row r="21" ht="22.5" customHeight="1">
      <c r="A21" s="35">
        <v>19.0</v>
      </c>
      <c r="B21" s="36" t="str">
        <f>IFNA(VLOOKUP($A21,Game_Data[],5,0),"")</f>
        <v>Inglorious Batters</v>
      </c>
      <c r="C21" s="37">
        <f t="shared" si="1"/>
        <v>0.6590909091</v>
      </c>
      <c r="D21" s="37">
        <f t="shared" si="2"/>
        <v>0.6739130435</v>
      </c>
      <c r="E21" s="37">
        <f t="shared" si="3"/>
        <v>0.8409090909</v>
      </c>
      <c r="F21" s="37">
        <f t="shared" si="4"/>
        <v>1.514822134</v>
      </c>
      <c r="G21" s="38">
        <f>IFERROR(__xludf.DUMMYFUNCTION("IFNA(FILTER(Game_Data[PA],Game_Data[Game #]=$A21,Game_Data[Player]=$D$1),"""")"),46.0)</f>
        <v>46</v>
      </c>
      <c r="H21" s="34">
        <f>IFERROR(__xludf.DUMMYFUNCTION("IFNA(FILTER(Game_Data[AB],Game_Data[Game #]=$A21,Game_Data[Player]=$D$1),"""")"),44.0)</f>
        <v>44</v>
      </c>
      <c r="I21" s="39">
        <f>IFERROR(__xludf.DUMMYFUNCTION("IFNA(FILTER(Game_Data[H],Game_Data[Game #]=$A21,Game_Data[Player]=$D$1),"""")"),29.0)</f>
        <v>29</v>
      </c>
      <c r="J21" s="34">
        <f>IFERROR(__xludf.DUMMYFUNCTION("IFNA(FILTER(Game_Data[1B],Game_Data[Game #]=$A21,Game_Data[Player]=$D$1),"""")"),21.0)</f>
        <v>21</v>
      </c>
      <c r="K21" s="34">
        <f>IFERROR(__xludf.DUMMYFUNCTION("IFNA(FILTER(Game_Data[2B],Game_Data[Game #]=$A21,Game_Data[Player]=$D$1),"""")"),8.0)</f>
        <v>8</v>
      </c>
      <c r="L21" s="34">
        <f>IFERROR(__xludf.DUMMYFUNCTION("IFNA(FILTER(Game_Data[3B],Game_Data[Game #]=$A21,Game_Data[Player]=$D$1),"""")"),0.0)</f>
        <v>0</v>
      </c>
      <c r="M21" s="34">
        <f>IFERROR(__xludf.DUMMYFUNCTION("IFNA(FILTER(Game_Data[4B],Game_Data[Game #]=$A21,Game_Data[Player]=$D$1),"""")"),0.0)</f>
        <v>0</v>
      </c>
      <c r="N21" s="34">
        <f>IFERROR(__xludf.DUMMYFUNCTION("IFNA(FILTER(Game_Data[HR],Game_Data[Game #]=$A21,Game_Data[Player]=$D$1),"""")"),0.0)</f>
        <v>0</v>
      </c>
      <c r="O21" s="34">
        <f>IFERROR(__xludf.DUMMYFUNCTION("IFNA(FILTER(Game_Data[FC],Game_Data[Game #]=$A21,Game_Data[Player]=$D$1),"""")"),5.0)</f>
        <v>5</v>
      </c>
      <c r="P21" s="34">
        <f>IFERROR(__xludf.DUMMYFUNCTION("IFNA(FILTER(Game_Data[BB],Game_Data[Game #]=$A21,Game_Data[Player]=$D$1),"""")"),2.0)</f>
        <v>2</v>
      </c>
      <c r="Q21" s="34">
        <f>IFERROR(__xludf.DUMMYFUNCTION("IFNA(FILTER(Game_Data[SF],Game_Data[Game #]=$A21,Game_Data[Player]=$D$1),"""")"),0.0)</f>
        <v>0</v>
      </c>
      <c r="R21" s="34">
        <f>IFERROR(__xludf.DUMMYFUNCTION("IFNA(FILTER(Game_Data[K],Game_Data[Game #]=$A21,Game_Data[Player]=$D$1),"""")"),0.0)</f>
        <v>0</v>
      </c>
      <c r="S21" s="34">
        <f>IFERROR(__xludf.DUMMYFUNCTION("IFNA(FILTER(Game_Data[KF],Game_Data[Game #]=$A21,Game_Data[Player]=$D$1),"""")"),0.0)</f>
        <v>0</v>
      </c>
      <c r="T21" s="34">
        <f>IFERROR(__xludf.DUMMYFUNCTION("IFNA(FILTER(Game_Data[GO],Game_Data[Game #]=$A21,Game_Data[Player]=$D$1),"""")"),0.0)</f>
        <v>0</v>
      </c>
      <c r="U21" s="34">
        <f>IFERROR(__xludf.DUMMYFUNCTION("IFNA(FILTER(Game_Data[FO],Game_Data[Game #]=$A21,Game_Data[Player]=$D$1),"""")"),10.0)</f>
        <v>10</v>
      </c>
      <c r="V21" s="34">
        <f>IFERROR(__xludf.DUMMYFUNCTION("IFNA(FILTER(Game_Data[R],Game_Data[Game #]=$A21,Game_Data[Player]=$D$1),"""")"),20.0)</f>
        <v>20</v>
      </c>
      <c r="W21" s="34">
        <f>IFERROR(__xludf.DUMMYFUNCTION("IFNA(FILTER(Game_Data[RBI],Game_Data[Game #]=$A21,Game_Data[Player]=$D$1),"""")"),20.0)</f>
        <v>20</v>
      </c>
    </row>
    <row r="22" ht="22.5" customHeight="1">
      <c r="A22" s="35">
        <v>20.0</v>
      </c>
      <c r="B22" s="36" t="str">
        <f>IFNA(VLOOKUP($A22,Game_Data[],5,0),"")</f>
        <v>The Expos</v>
      </c>
      <c r="C22" s="37">
        <f t="shared" si="1"/>
        <v>0.5869565217</v>
      </c>
      <c r="D22" s="37">
        <f t="shared" si="2"/>
        <v>0.5957446809</v>
      </c>
      <c r="E22" s="37">
        <f t="shared" si="3"/>
        <v>0.9347826087</v>
      </c>
      <c r="F22" s="37">
        <f t="shared" si="4"/>
        <v>1.53052729</v>
      </c>
      <c r="G22" s="38">
        <f>IFERROR(__xludf.DUMMYFUNCTION("IFNA(FILTER(Game_Data[PA],Game_Data[Game #]=$A22,Game_Data[Player]=$D$1),"""")"),47.0)</f>
        <v>47</v>
      </c>
      <c r="H22" s="34">
        <f>IFERROR(__xludf.DUMMYFUNCTION("IFNA(FILTER(Game_Data[AB],Game_Data[Game #]=$A22,Game_Data[Player]=$D$1),"""")"),46.0)</f>
        <v>46</v>
      </c>
      <c r="I22" s="39">
        <f>IFERROR(__xludf.DUMMYFUNCTION("IFNA(FILTER(Game_Data[H],Game_Data[Game #]=$A22,Game_Data[Player]=$D$1),"""")"),27.0)</f>
        <v>27</v>
      </c>
      <c r="J22" s="34">
        <f>IFERROR(__xludf.DUMMYFUNCTION("IFNA(FILTER(Game_Data[1B],Game_Data[Game #]=$A22,Game_Data[Player]=$D$1),"""")"),18.0)</f>
        <v>18</v>
      </c>
      <c r="K22" s="34">
        <f>IFERROR(__xludf.DUMMYFUNCTION("IFNA(FILTER(Game_Data[2B],Game_Data[Game #]=$A22,Game_Data[Player]=$D$1),"""")"),5.0)</f>
        <v>5</v>
      </c>
      <c r="L22" s="34">
        <f>IFERROR(__xludf.DUMMYFUNCTION("IFNA(FILTER(Game_Data[3B],Game_Data[Game #]=$A22,Game_Data[Player]=$D$1),"""")"),1.0)</f>
        <v>1</v>
      </c>
      <c r="M22" s="34">
        <f>IFERROR(__xludf.DUMMYFUNCTION("IFNA(FILTER(Game_Data[4B],Game_Data[Game #]=$A22,Game_Data[Player]=$D$1),"""")"),0.0)</f>
        <v>0</v>
      </c>
      <c r="N22" s="34">
        <f>IFERROR(__xludf.DUMMYFUNCTION("IFNA(FILTER(Game_Data[HR],Game_Data[Game #]=$A22,Game_Data[Player]=$D$1),"""")"),3.0)</f>
        <v>3</v>
      </c>
      <c r="O22" s="34">
        <f>IFERROR(__xludf.DUMMYFUNCTION("IFNA(FILTER(Game_Data[FC],Game_Data[Game #]=$A22,Game_Data[Player]=$D$1),"""")"),2.0)</f>
        <v>2</v>
      </c>
      <c r="P22" s="34">
        <f>IFERROR(__xludf.DUMMYFUNCTION("IFNA(FILTER(Game_Data[BB],Game_Data[Game #]=$A22,Game_Data[Player]=$D$1),"""")"),1.0)</f>
        <v>1</v>
      </c>
      <c r="Q22" s="34">
        <f>IFERROR(__xludf.DUMMYFUNCTION("IFNA(FILTER(Game_Data[SF],Game_Data[Game #]=$A22,Game_Data[Player]=$D$1),"""")"),0.0)</f>
        <v>0</v>
      </c>
      <c r="R22" s="34">
        <f>IFERROR(__xludf.DUMMYFUNCTION("IFNA(FILTER(Game_Data[K],Game_Data[Game #]=$A22,Game_Data[Player]=$D$1),"""")"),0.0)</f>
        <v>0</v>
      </c>
      <c r="S22" s="34">
        <f>IFERROR(__xludf.DUMMYFUNCTION("IFNA(FILTER(Game_Data[KF],Game_Data[Game #]=$A22,Game_Data[Player]=$D$1),"""")"),0.0)</f>
        <v>0</v>
      </c>
      <c r="T22" s="34">
        <f>IFERROR(__xludf.DUMMYFUNCTION("IFNA(FILTER(Game_Data[GO],Game_Data[Game #]=$A22,Game_Data[Player]=$D$1),"""")"),0.0)</f>
        <v>0</v>
      </c>
      <c r="U22" s="34">
        <f>IFERROR(__xludf.DUMMYFUNCTION("IFNA(FILTER(Game_Data[FO],Game_Data[Game #]=$A22,Game_Data[Player]=$D$1),"""")"),17.0)</f>
        <v>17</v>
      </c>
      <c r="V22" s="34">
        <f>IFERROR(__xludf.DUMMYFUNCTION("IFNA(FILTER(Game_Data[R],Game_Data[Game #]=$A22,Game_Data[Player]=$D$1),"""")"),16.0)</f>
        <v>16</v>
      </c>
      <c r="W22" s="34">
        <f>IFERROR(__xludf.DUMMYFUNCTION("IFNA(FILTER(Game_Data[RBI],Game_Data[Game #]=$A22,Game_Data[Player]=$D$1),"""")"),16.0)</f>
        <v>16</v>
      </c>
    </row>
    <row r="23" ht="22.5" customHeight="1">
      <c r="A23" s="35">
        <v>21.0</v>
      </c>
      <c r="B23" s="36" t="str">
        <f>IFNA(VLOOKUP($A23,Game_Data[],5,0),"")</f>
        <v>Storm</v>
      </c>
      <c r="C23" s="37">
        <f t="shared" si="1"/>
        <v>0.619047619</v>
      </c>
      <c r="D23" s="37">
        <f t="shared" si="2"/>
        <v>0.625</v>
      </c>
      <c r="E23" s="37">
        <f t="shared" si="3"/>
        <v>0.7142857143</v>
      </c>
      <c r="F23" s="37">
        <f t="shared" si="4"/>
        <v>1.339285714</v>
      </c>
      <c r="G23" s="38">
        <f>IFERROR(__xludf.DUMMYFUNCTION("IFNA(FILTER(Game_Data[PA],Game_Data[Game #]=$A23,Game_Data[Player]=$D$1),"""")"),48.0)</f>
        <v>48</v>
      </c>
      <c r="H23" s="34">
        <f>IFERROR(__xludf.DUMMYFUNCTION("IFNA(FILTER(Game_Data[AB],Game_Data[Game #]=$A23,Game_Data[Player]=$D$1),"""")"),42.0)</f>
        <v>42</v>
      </c>
      <c r="I23" s="39">
        <f>IFERROR(__xludf.DUMMYFUNCTION("IFNA(FILTER(Game_Data[H],Game_Data[Game #]=$A23,Game_Data[Player]=$D$1),"""")"),26.0)</f>
        <v>26</v>
      </c>
      <c r="J23" s="34">
        <f>IFERROR(__xludf.DUMMYFUNCTION("IFNA(FILTER(Game_Data[1B],Game_Data[Game #]=$A23,Game_Data[Player]=$D$1),"""")"),22.0)</f>
        <v>22</v>
      </c>
      <c r="K23" s="34">
        <f>IFERROR(__xludf.DUMMYFUNCTION("IFNA(FILTER(Game_Data[2B],Game_Data[Game #]=$A23,Game_Data[Player]=$D$1),"""")"),4.0)</f>
        <v>4</v>
      </c>
      <c r="L23" s="34">
        <f>IFERROR(__xludf.DUMMYFUNCTION("IFNA(FILTER(Game_Data[3B],Game_Data[Game #]=$A23,Game_Data[Player]=$D$1),"""")"),0.0)</f>
        <v>0</v>
      </c>
      <c r="M23" s="34">
        <f>IFERROR(__xludf.DUMMYFUNCTION("IFNA(FILTER(Game_Data[4B],Game_Data[Game #]=$A23,Game_Data[Player]=$D$1),"""")"),0.0)</f>
        <v>0</v>
      </c>
      <c r="N23" s="34">
        <f>IFERROR(__xludf.DUMMYFUNCTION("IFNA(FILTER(Game_Data[HR],Game_Data[Game #]=$A23,Game_Data[Player]=$D$1),"""")"),0.0)</f>
        <v>0</v>
      </c>
      <c r="O23" s="34">
        <f>IFERROR(__xludf.DUMMYFUNCTION("IFNA(FILTER(Game_Data[FC],Game_Data[Game #]=$A23,Game_Data[Player]=$D$1),"""")"),1.0)</f>
        <v>1</v>
      </c>
      <c r="P23" s="34">
        <f>IFERROR(__xludf.DUMMYFUNCTION("IFNA(FILTER(Game_Data[BB],Game_Data[Game #]=$A23,Game_Data[Player]=$D$1),"""")"),4.0)</f>
        <v>4</v>
      </c>
      <c r="Q23" s="34">
        <f>IFERROR(__xludf.DUMMYFUNCTION("IFNA(FILTER(Game_Data[SF],Game_Data[Game #]=$A23,Game_Data[Player]=$D$1),"""")"),2.0)</f>
        <v>2</v>
      </c>
      <c r="R23" s="34">
        <f>IFERROR(__xludf.DUMMYFUNCTION("IFNA(FILTER(Game_Data[K],Game_Data[Game #]=$A23,Game_Data[Player]=$D$1),"""")"),0.0)</f>
        <v>0</v>
      </c>
      <c r="S23" s="34">
        <f>IFERROR(__xludf.DUMMYFUNCTION("IFNA(FILTER(Game_Data[KF],Game_Data[Game #]=$A23,Game_Data[Player]=$D$1),"""")"),0.0)</f>
        <v>0</v>
      </c>
      <c r="T23" s="34">
        <f>IFERROR(__xludf.DUMMYFUNCTION("IFNA(FILTER(Game_Data[GO],Game_Data[Game #]=$A23,Game_Data[Player]=$D$1),"""")"),0.0)</f>
        <v>0</v>
      </c>
      <c r="U23" s="34">
        <f>IFERROR(__xludf.DUMMYFUNCTION("IFNA(FILTER(Game_Data[FO],Game_Data[Game #]=$A23,Game_Data[Player]=$D$1),"""")"),15.0)</f>
        <v>15</v>
      </c>
      <c r="V23" s="34">
        <f>IFERROR(__xludf.DUMMYFUNCTION("IFNA(FILTER(Game_Data[R],Game_Data[Game #]=$A23,Game_Data[Player]=$D$1),"""")"),18.0)</f>
        <v>18</v>
      </c>
      <c r="W23" s="34">
        <f>IFERROR(__xludf.DUMMYFUNCTION("IFNA(FILTER(Game_Data[RBI],Game_Data[Game #]=$A23,Game_Data[Player]=$D$1),"""")"),18.0)</f>
        <v>18</v>
      </c>
    </row>
    <row r="24" ht="22.5" customHeight="1">
      <c r="A24" s="35">
        <v>22.0</v>
      </c>
      <c r="B24" s="36" t="str">
        <f>IFNA(VLOOKUP($A24,Game_Data[],5,0),"")</f>
        <v>Broadway</v>
      </c>
      <c r="C24" s="37">
        <f t="shared" si="1"/>
        <v>0.4473684211</v>
      </c>
      <c r="D24" s="37">
        <f t="shared" si="2"/>
        <v>0.487804878</v>
      </c>
      <c r="E24" s="37">
        <f t="shared" si="3"/>
        <v>0.9210526316</v>
      </c>
      <c r="F24" s="37">
        <f t="shared" si="4"/>
        <v>1.40885751</v>
      </c>
      <c r="G24" s="38">
        <f>IFERROR(__xludf.DUMMYFUNCTION("IFNA(FILTER(Game_Data[PA],Game_Data[Game #]=$A24,Game_Data[Player]=$D$1),"""")"),41.0)</f>
        <v>41</v>
      </c>
      <c r="H24" s="34">
        <f>IFERROR(__xludf.DUMMYFUNCTION("IFNA(FILTER(Game_Data[AB],Game_Data[Game #]=$A24,Game_Data[Player]=$D$1),"""")"),38.0)</f>
        <v>38</v>
      </c>
      <c r="I24" s="39">
        <f>IFERROR(__xludf.DUMMYFUNCTION("IFNA(FILTER(Game_Data[H],Game_Data[Game #]=$A24,Game_Data[Player]=$D$1),"""")"),17.0)</f>
        <v>17</v>
      </c>
      <c r="J24" s="34">
        <f>IFERROR(__xludf.DUMMYFUNCTION("IFNA(FILTER(Game_Data[1B],Game_Data[Game #]=$A24,Game_Data[Player]=$D$1),"""")"),9.0)</f>
        <v>9</v>
      </c>
      <c r="K24" s="34">
        <f>IFERROR(__xludf.DUMMYFUNCTION("IFNA(FILTER(Game_Data[2B],Game_Data[Game #]=$A24,Game_Data[Player]=$D$1),"""")"),3.0)</f>
        <v>3</v>
      </c>
      <c r="L24" s="34">
        <f>IFERROR(__xludf.DUMMYFUNCTION("IFNA(FILTER(Game_Data[3B],Game_Data[Game #]=$A24,Game_Data[Player]=$D$1),"""")"),0.0)</f>
        <v>0</v>
      </c>
      <c r="M24" s="34">
        <f>IFERROR(__xludf.DUMMYFUNCTION("IFNA(FILTER(Game_Data[4B],Game_Data[Game #]=$A24,Game_Data[Player]=$D$1),"""")"),2.0)</f>
        <v>2</v>
      </c>
      <c r="N24" s="34">
        <f>IFERROR(__xludf.DUMMYFUNCTION("IFNA(FILTER(Game_Data[HR],Game_Data[Game #]=$A24,Game_Data[Player]=$D$1),"""")"),3.0)</f>
        <v>3</v>
      </c>
      <c r="O24" s="34">
        <f>IFERROR(__xludf.DUMMYFUNCTION("IFNA(FILTER(Game_Data[FC],Game_Data[Game #]=$A24,Game_Data[Player]=$D$1),"""")"),4.0)</f>
        <v>4</v>
      </c>
      <c r="P24" s="34">
        <f>IFERROR(__xludf.DUMMYFUNCTION("IFNA(FILTER(Game_Data[BB],Game_Data[Game #]=$A24,Game_Data[Player]=$D$1),"""")"),3.0)</f>
        <v>3</v>
      </c>
      <c r="Q24" s="34">
        <f>IFERROR(__xludf.DUMMYFUNCTION("IFNA(FILTER(Game_Data[SF],Game_Data[Game #]=$A24,Game_Data[Player]=$D$1),"""")"),0.0)</f>
        <v>0</v>
      </c>
      <c r="R24" s="34">
        <f>IFERROR(__xludf.DUMMYFUNCTION("IFNA(FILTER(Game_Data[K],Game_Data[Game #]=$A24,Game_Data[Player]=$D$1),"""")"),1.0)</f>
        <v>1</v>
      </c>
      <c r="S24" s="34">
        <f>IFERROR(__xludf.DUMMYFUNCTION("IFNA(FILTER(Game_Data[KF],Game_Data[Game #]=$A24,Game_Data[Player]=$D$1),"""")"),0.0)</f>
        <v>0</v>
      </c>
      <c r="T24" s="34">
        <f>IFERROR(__xludf.DUMMYFUNCTION("IFNA(FILTER(Game_Data[GO],Game_Data[Game #]=$A24,Game_Data[Player]=$D$1),"""")"),5.0)</f>
        <v>5</v>
      </c>
      <c r="U24" s="34">
        <f>IFERROR(__xludf.DUMMYFUNCTION("IFNA(FILTER(Game_Data[FO],Game_Data[Game #]=$A24,Game_Data[Player]=$D$1),"""")"),11.0)</f>
        <v>11</v>
      </c>
      <c r="V24" s="34">
        <f>IFERROR(__xludf.DUMMYFUNCTION("IFNA(FILTER(Game_Data[R],Game_Data[Game #]=$A24,Game_Data[Player]=$D$1),"""")"),15.0)</f>
        <v>15</v>
      </c>
      <c r="W24" s="34">
        <f>IFERROR(__xludf.DUMMYFUNCTION("IFNA(FILTER(Game_Data[RBI],Game_Data[Game #]=$A24,Game_Data[Player]=$D$1),"""")"),15.0)</f>
        <v>15</v>
      </c>
    </row>
    <row r="25" ht="22.5" customHeight="1">
      <c r="A25" s="35">
        <v>23.0</v>
      </c>
      <c r="B25" s="36" t="str">
        <f>IFNA(VLOOKUP($A25,Game_Data[],5,0),"")</f>
        <v>Coulas Bone Crushers</v>
      </c>
      <c r="C25" s="37">
        <f t="shared" si="1"/>
        <v>0.6666666667</v>
      </c>
      <c r="D25" s="37">
        <f t="shared" si="2"/>
        <v>0.6444444444</v>
      </c>
      <c r="E25" s="37">
        <f t="shared" si="3"/>
        <v>1.102564103</v>
      </c>
      <c r="F25" s="37">
        <f t="shared" si="4"/>
        <v>1.747008547</v>
      </c>
      <c r="G25" s="38">
        <f>IFERROR(__xludf.DUMMYFUNCTION("IFNA(FILTER(Game_Data[PA],Game_Data[Game #]=$A25,Game_Data[Player]=$D$1),"""")"),45.0)</f>
        <v>45</v>
      </c>
      <c r="H25" s="34">
        <f>IFERROR(__xludf.DUMMYFUNCTION("IFNA(FILTER(Game_Data[AB],Game_Data[Game #]=$A25,Game_Data[Player]=$D$1),"""")"),39.0)</f>
        <v>39</v>
      </c>
      <c r="I25" s="39">
        <f>IFERROR(__xludf.DUMMYFUNCTION("IFNA(FILTER(Game_Data[H],Game_Data[Game #]=$A25,Game_Data[Player]=$D$1),"""")"),26.0)</f>
        <v>26</v>
      </c>
      <c r="J25" s="34">
        <f>IFERROR(__xludf.DUMMYFUNCTION("IFNA(FILTER(Game_Data[1B],Game_Data[Game #]=$A25,Game_Data[Player]=$D$1),"""")"),19.0)</f>
        <v>19</v>
      </c>
      <c r="K25" s="34">
        <f>IFERROR(__xludf.DUMMYFUNCTION("IFNA(FILTER(Game_Data[2B],Game_Data[Game #]=$A25,Game_Data[Player]=$D$1),"""")"),1.0)</f>
        <v>1</v>
      </c>
      <c r="L25" s="34">
        <f>IFERROR(__xludf.DUMMYFUNCTION("IFNA(FILTER(Game_Data[3B],Game_Data[Game #]=$A25,Game_Data[Player]=$D$1),"""")"),2.0)</f>
        <v>2</v>
      </c>
      <c r="M25" s="34">
        <f>IFERROR(__xludf.DUMMYFUNCTION("IFNA(FILTER(Game_Data[4B],Game_Data[Game #]=$A25,Game_Data[Player]=$D$1),"""")"),1.0)</f>
        <v>1</v>
      </c>
      <c r="N25" s="34">
        <f>IFERROR(__xludf.DUMMYFUNCTION("IFNA(FILTER(Game_Data[HR],Game_Data[Game #]=$A25,Game_Data[Player]=$D$1),"""")"),3.0)</f>
        <v>3</v>
      </c>
      <c r="O25" s="34">
        <f>IFERROR(__xludf.DUMMYFUNCTION("IFNA(FILTER(Game_Data[FC],Game_Data[Game #]=$A25,Game_Data[Player]=$D$1),"""")"),1.0)</f>
        <v>1</v>
      </c>
      <c r="P25" s="34">
        <f>IFERROR(__xludf.DUMMYFUNCTION("IFNA(FILTER(Game_Data[BB],Game_Data[Game #]=$A25,Game_Data[Player]=$D$1),"""")"),3.0)</f>
        <v>3</v>
      </c>
      <c r="Q25" s="34">
        <f>IFERROR(__xludf.DUMMYFUNCTION("IFNA(FILTER(Game_Data[SF],Game_Data[Game #]=$A25,Game_Data[Player]=$D$1),"""")"),3.0)</f>
        <v>3</v>
      </c>
      <c r="R25" s="34">
        <f>IFERROR(__xludf.DUMMYFUNCTION("IFNA(FILTER(Game_Data[K],Game_Data[Game #]=$A25,Game_Data[Player]=$D$1),"""")"),0.0)</f>
        <v>0</v>
      </c>
      <c r="S25" s="34">
        <f>IFERROR(__xludf.DUMMYFUNCTION("IFNA(FILTER(Game_Data[KF],Game_Data[Game #]=$A25,Game_Data[Player]=$D$1),"""")"),0.0)</f>
        <v>0</v>
      </c>
      <c r="T25" s="34">
        <f>IFERROR(__xludf.DUMMYFUNCTION("IFNA(FILTER(Game_Data[GO],Game_Data[Game #]=$A25,Game_Data[Player]=$D$1),"""")"),2.0)</f>
        <v>2</v>
      </c>
      <c r="U25" s="34">
        <f>IFERROR(__xludf.DUMMYFUNCTION("IFNA(FILTER(Game_Data[FO],Game_Data[Game #]=$A25,Game_Data[Player]=$D$1),"""")"),10.0)</f>
        <v>10</v>
      </c>
      <c r="V25" s="34">
        <f>IFERROR(__xludf.DUMMYFUNCTION("IFNA(FILTER(Game_Data[R],Game_Data[Game #]=$A25,Game_Data[Player]=$D$1),"""")"),20.0)</f>
        <v>20</v>
      </c>
      <c r="W25" s="34">
        <f>IFERROR(__xludf.DUMMYFUNCTION("IFNA(FILTER(Game_Data[RBI],Game_Data[Game #]=$A25,Game_Data[Player]=$D$1),"""")"),20.0)</f>
        <v>20</v>
      </c>
    </row>
    <row r="26" ht="22.5" customHeight="1">
      <c r="A26" s="35">
        <v>24.0</v>
      </c>
      <c r="B26" s="36" t="str">
        <f>IFNA(VLOOKUP($A26,Game_Data[],5,0),"")</f>
        <v>The Crew</v>
      </c>
      <c r="C26" s="37">
        <f t="shared" si="1"/>
        <v>0.4117647059</v>
      </c>
      <c r="D26" s="37">
        <f t="shared" si="2"/>
        <v>0.4</v>
      </c>
      <c r="E26" s="37">
        <f t="shared" si="3"/>
        <v>0.5588235294</v>
      </c>
      <c r="F26" s="37">
        <f t="shared" si="4"/>
        <v>0.9588235294</v>
      </c>
      <c r="G26" s="38">
        <f>IFERROR(__xludf.DUMMYFUNCTION("IFNA(FILTER(Game_Data[PA],Game_Data[Game #]=$A26,Game_Data[Player]=$D$1),"""")"),35.0)</f>
        <v>35</v>
      </c>
      <c r="H26" s="34">
        <f>IFERROR(__xludf.DUMMYFUNCTION("IFNA(FILTER(Game_Data[AB],Game_Data[Game #]=$A26,Game_Data[Player]=$D$1),"""")"),34.0)</f>
        <v>34</v>
      </c>
      <c r="I26" s="39">
        <f>IFERROR(__xludf.DUMMYFUNCTION("IFNA(FILTER(Game_Data[H],Game_Data[Game #]=$A26,Game_Data[Player]=$D$1),"""")"),14.0)</f>
        <v>14</v>
      </c>
      <c r="J26" s="34">
        <f>IFERROR(__xludf.DUMMYFUNCTION("IFNA(FILTER(Game_Data[1B],Game_Data[Game #]=$A26,Game_Data[Player]=$D$1),"""")"),10.0)</f>
        <v>10</v>
      </c>
      <c r="K26" s="34">
        <f>IFERROR(__xludf.DUMMYFUNCTION("IFNA(FILTER(Game_Data[2B],Game_Data[Game #]=$A26,Game_Data[Player]=$D$1),"""")"),3.0)</f>
        <v>3</v>
      </c>
      <c r="L26" s="34">
        <f>IFERROR(__xludf.DUMMYFUNCTION("IFNA(FILTER(Game_Data[3B],Game_Data[Game #]=$A26,Game_Data[Player]=$D$1),"""")"),1.0)</f>
        <v>1</v>
      </c>
      <c r="M26" s="34">
        <f>IFERROR(__xludf.DUMMYFUNCTION("IFNA(FILTER(Game_Data[4B],Game_Data[Game #]=$A26,Game_Data[Player]=$D$1),"""")"),0.0)</f>
        <v>0</v>
      </c>
      <c r="N26" s="34">
        <f>IFERROR(__xludf.DUMMYFUNCTION("IFNA(FILTER(Game_Data[HR],Game_Data[Game #]=$A26,Game_Data[Player]=$D$1),"""")"),0.0)</f>
        <v>0</v>
      </c>
      <c r="O26" s="34">
        <f>IFERROR(__xludf.DUMMYFUNCTION("IFNA(FILTER(Game_Data[FC],Game_Data[Game #]=$A26,Game_Data[Player]=$D$1),"""")"),0.0)</f>
        <v>0</v>
      </c>
      <c r="P26" s="34">
        <f>IFERROR(__xludf.DUMMYFUNCTION("IFNA(FILTER(Game_Data[BB],Game_Data[Game #]=$A26,Game_Data[Player]=$D$1),"""")"),0.0)</f>
        <v>0</v>
      </c>
      <c r="Q26" s="34">
        <f>IFERROR(__xludf.DUMMYFUNCTION("IFNA(FILTER(Game_Data[SF],Game_Data[Game #]=$A26,Game_Data[Player]=$D$1),"""")"),1.0)</f>
        <v>1</v>
      </c>
      <c r="R26" s="34">
        <f>IFERROR(__xludf.DUMMYFUNCTION("IFNA(FILTER(Game_Data[K],Game_Data[Game #]=$A26,Game_Data[Player]=$D$1),"""")"),0.0)</f>
        <v>0</v>
      </c>
      <c r="S26" s="34">
        <f>IFERROR(__xludf.DUMMYFUNCTION("IFNA(FILTER(Game_Data[KF],Game_Data[Game #]=$A26,Game_Data[Player]=$D$1),"""")"),0.0)</f>
        <v>0</v>
      </c>
      <c r="T26" s="34">
        <f>IFERROR(__xludf.DUMMYFUNCTION("IFNA(FILTER(Game_Data[GO],Game_Data[Game #]=$A26,Game_Data[Player]=$D$1),"""")"),0.0)</f>
        <v>0</v>
      </c>
      <c r="U26" s="34">
        <f>IFERROR(__xludf.DUMMYFUNCTION("IFNA(FILTER(Game_Data[FO],Game_Data[Game #]=$A26,Game_Data[Player]=$D$1),"""")"),20.0)</f>
        <v>20</v>
      </c>
      <c r="V26" s="34">
        <f>IFERROR(__xludf.DUMMYFUNCTION("IFNA(FILTER(Game_Data[R],Game_Data[Game #]=$A26,Game_Data[Player]=$D$1),"""")"),5.0)</f>
        <v>5</v>
      </c>
      <c r="W26" s="34">
        <f>IFERROR(__xludf.DUMMYFUNCTION("IFNA(FILTER(Game_Data[RBI],Game_Data[Game #]=$A26,Game_Data[Player]=$D$1),"""")"),5.0)</f>
        <v>5</v>
      </c>
    </row>
    <row r="27" ht="22.5" customHeight="1">
      <c r="A27" s="35">
        <v>25.0</v>
      </c>
      <c r="B27" s="36" t="str">
        <f>IFNA(VLOOKUP($A27,Game_Data[],5,0),"")</f>
        <v>Triple Play</v>
      </c>
      <c r="C27" s="37">
        <f t="shared" si="1"/>
        <v>0.6</v>
      </c>
      <c r="D27" s="37">
        <f t="shared" si="2"/>
        <v>0.5833333333</v>
      </c>
      <c r="E27" s="37">
        <f t="shared" si="3"/>
        <v>0.8857142857</v>
      </c>
      <c r="F27" s="37">
        <f t="shared" si="4"/>
        <v>1.469047619</v>
      </c>
      <c r="G27" s="38">
        <f>IFERROR(__xludf.DUMMYFUNCTION("IFNA(FILTER(Game_Data[PA],Game_Data[Game #]=$A27,Game_Data[Player]=$D$1),"""")"),36.0)</f>
        <v>36</v>
      </c>
      <c r="H27" s="34">
        <f>IFERROR(__xludf.DUMMYFUNCTION("IFNA(FILTER(Game_Data[AB],Game_Data[Game #]=$A27,Game_Data[Player]=$D$1),"""")"),35.0)</f>
        <v>35</v>
      </c>
      <c r="I27" s="39">
        <f>IFERROR(__xludf.DUMMYFUNCTION("IFNA(FILTER(Game_Data[H],Game_Data[Game #]=$A27,Game_Data[Player]=$D$1),"""")"),21.0)</f>
        <v>21</v>
      </c>
      <c r="J27" s="34">
        <f>IFERROR(__xludf.DUMMYFUNCTION("IFNA(FILTER(Game_Data[1B],Game_Data[Game #]=$A27,Game_Data[Player]=$D$1),"""")"),14.0)</f>
        <v>14</v>
      </c>
      <c r="K27" s="34">
        <f>IFERROR(__xludf.DUMMYFUNCTION("IFNA(FILTER(Game_Data[2B],Game_Data[Game #]=$A27,Game_Data[Player]=$D$1),"""")"),5.0)</f>
        <v>5</v>
      </c>
      <c r="L27" s="34">
        <f>IFERROR(__xludf.DUMMYFUNCTION("IFNA(FILTER(Game_Data[3B],Game_Data[Game #]=$A27,Game_Data[Player]=$D$1),"""")"),1.0)</f>
        <v>1</v>
      </c>
      <c r="M27" s="34">
        <f>IFERROR(__xludf.DUMMYFUNCTION("IFNA(FILTER(Game_Data[4B],Game_Data[Game #]=$A27,Game_Data[Player]=$D$1),"""")"),0.0)</f>
        <v>0</v>
      </c>
      <c r="N27" s="34">
        <f>IFERROR(__xludf.DUMMYFUNCTION("IFNA(FILTER(Game_Data[HR],Game_Data[Game #]=$A27,Game_Data[Player]=$D$1),"""")"),1.0)</f>
        <v>1</v>
      </c>
      <c r="O27" s="34">
        <f>IFERROR(__xludf.DUMMYFUNCTION("IFNA(FILTER(Game_Data[FC],Game_Data[Game #]=$A27,Game_Data[Player]=$D$1),"""")"),2.0)</f>
        <v>2</v>
      </c>
      <c r="P27" s="34">
        <f>IFERROR(__xludf.DUMMYFUNCTION("IFNA(FILTER(Game_Data[BB],Game_Data[Game #]=$A27,Game_Data[Player]=$D$1),"""")"),0.0)</f>
        <v>0</v>
      </c>
      <c r="Q27" s="34">
        <f>IFERROR(__xludf.DUMMYFUNCTION("IFNA(FILTER(Game_Data[SF],Game_Data[Game #]=$A27,Game_Data[Player]=$D$1),"""")"),1.0)</f>
        <v>1</v>
      </c>
      <c r="R27" s="34">
        <f>IFERROR(__xludf.DUMMYFUNCTION("IFNA(FILTER(Game_Data[K],Game_Data[Game #]=$A27,Game_Data[Player]=$D$1),"""")"),0.0)</f>
        <v>0</v>
      </c>
      <c r="S27" s="34">
        <f>IFERROR(__xludf.DUMMYFUNCTION("IFNA(FILTER(Game_Data[KF],Game_Data[Game #]=$A27,Game_Data[Player]=$D$1),"""")"),0.0)</f>
        <v>0</v>
      </c>
      <c r="T27" s="34">
        <f>IFERROR(__xludf.DUMMYFUNCTION("IFNA(FILTER(Game_Data[GO],Game_Data[Game #]=$A27,Game_Data[Player]=$D$1),"""")"),3.0)</f>
        <v>3</v>
      </c>
      <c r="U27" s="34">
        <f>IFERROR(__xludf.DUMMYFUNCTION("IFNA(FILTER(Game_Data[FO],Game_Data[Game #]=$A27,Game_Data[Player]=$D$1),"""")"),9.0)</f>
        <v>9</v>
      </c>
      <c r="V27" s="34">
        <f>IFERROR(__xludf.DUMMYFUNCTION("IFNA(FILTER(Game_Data[R],Game_Data[Game #]=$A27,Game_Data[Player]=$D$1),"""")"),14.0)</f>
        <v>14</v>
      </c>
      <c r="W27" s="34">
        <f>IFERROR(__xludf.DUMMYFUNCTION("IFNA(FILTER(Game_Data[RBI],Game_Data[Game #]=$A27,Game_Data[Player]=$D$1),"""")"),14.0)</f>
        <v>14</v>
      </c>
    </row>
    <row r="28" ht="22.5" customHeight="1">
      <c r="A28" s="35">
        <v>26.0</v>
      </c>
      <c r="B28" s="36" t="str">
        <f>IFNA(VLOOKUP($A28,Game_Data[],5,0),"")</f>
        <v>Greenthumbs</v>
      </c>
      <c r="C28" s="37">
        <f t="shared" si="1"/>
        <v>0.6136363636</v>
      </c>
      <c r="D28" s="37">
        <f t="shared" si="2"/>
        <v>0.6458333333</v>
      </c>
      <c r="E28" s="37">
        <f t="shared" si="3"/>
        <v>0.9090909091</v>
      </c>
      <c r="F28" s="37">
        <f t="shared" si="4"/>
        <v>1.554924242</v>
      </c>
      <c r="G28" s="38">
        <f>IFERROR(__xludf.DUMMYFUNCTION("IFNA(FILTER(Game_Data[PA],Game_Data[Game #]=$A28,Game_Data[Player]=$D$1),"""")"),48.0)</f>
        <v>48</v>
      </c>
      <c r="H28" s="34">
        <f>IFERROR(__xludf.DUMMYFUNCTION("IFNA(FILTER(Game_Data[AB],Game_Data[Game #]=$A28,Game_Data[Player]=$D$1),"""")"),44.0)</f>
        <v>44</v>
      </c>
      <c r="I28" s="39">
        <f>IFERROR(__xludf.DUMMYFUNCTION("IFNA(FILTER(Game_Data[H],Game_Data[Game #]=$A28,Game_Data[Player]=$D$1),"""")"),27.0)</f>
        <v>27</v>
      </c>
      <c r="J28" s="34">
        <f>IFERROR(__xludf.DUMMYFUNCTION("IFNA(FILTER(Game_Data[1B],Game_Data[Game #]=$A28,Game_Data[Player]=$D$1),"""")"),19.0)</f>
        <v>19</v>
      </c>
      <c r="K28" s="34">
        <f>IFERROR(__xludf.DUMMYFUNCTION("IFNA(FILTER(Game_Data[2B],Game_Data[Game #]=$A28,Game_Data[Player]=$D$1),"""")"),5.0)</f>
        <v>5</v>
      </c>
      <c r="L28" s="34">
        <f>IFERROR(__xludf.DUMMYFUNCTION("IFNA(FILTER(Game_Data[3B],Game_Data[Game #]=$A28,Game_Data[Player]=$D$1),"""")"),1.0)</f>
        <v>1</v>
      </c>
      <c r="M28" s="34">
        <f>IFERROR(__xludf.DUMMYFUNCTION("IFNA(FILTER(Game_Data[4B],Game_Data[Game #]=$A28,Game_Data[Player]=$D$1),"""")"),0.0)</f>
        <v>0</v>
      </c>
      <c r="N28" s="34">
        <f>IFERROR(__xludf.DUMMYFUNCTION("IFNA(FILTER(Game_Data[HR],Game_Data[Game #]=$A28,Game_Data[Player]=$D$1),"""")"),2.0)</f>
        <v>2</v>
      </c>
      <c r="O28" s="34">
        <f>IFERROR(__xludf.DUMMYFUNCTION("IFNA(FILTER(Game_Data[FC],Game_Data[Game #]=$A28,Game_Data[Player]=$D$1),"""")"),1.0)</f>
        <v>1</v>
      </c>
      <c r="P28" s="34">
        <f>IFERROR(__xludf.DUMMYFUNCTION("IFNA(FILTER(Game_Data[BB],Game_Data[Game #]=$A28,Game_Data[Player]=$D$1),"""")"),4.0)</f>
        <v>4</v>
      </c>
      <c r="Q28" s="34">
        <f>IFERROR(__xludf.DUMMYFUNCTION("IFNA(FILTER(Game_Data[SF],Game_Data[Game #]=$A28,Game_Data[Player]=$D$1),"""")"),0.0)</f>
        <v>0</v>
      </c>
      <c r="R28" s="34">
        <f>IFERROR(__xludf.DUMMYFUNCTION("IFNA(FILTER(Game_Data[K],Game_Data[Game #]=$A28,Game_Data[Player]=$D$1),"""")"),0.0)</f>
        <v>0</v>
      </c>
      <c r="S28" s="34">
        <f>IFERROR(__xludf.DUMMYFUNCTION("IFNA(FILTER(Game_Data[KF],Game_Data[Game #]=$A28,Game_Data[Player]=$D$1),"""")"),1.0)</f>
        <v>1</v>
      </c>
      <c r="T28" s="34">
        <f>IFERROR(__xludf.DUMMYFUNCTION("IFNA(FILTER(Game_Data[GO],Game_Data[Game #]=$A28,Game_Data[Player]=$D$1),"""")"),3.0)</f>
        <v>3</v>
      </c>
      <c r="U28" s="34">
        <f>IFERROR(__xludf.DUMMYFUNCTION("IFNA(FILTER(Game_Data[FO],Game_Data[Game #]=$A28,Game_Data[Player]=$D$1),"""")"),12.0)</f>
        <v>12</v>
      </c>
      <c r="V28" s="34">
        <f>IFERROR(__xludf.DUMMYFUNCTION("IFNA(FILTER(Game_Data[R],Game_Data[Game #]=$A28,Game_Data[Player]=$D$1),"""")"),21.0)</f>
        <v>21</v>
      </c>
      <c r="W28" s="34">
        <f>IFERROR(__xludf.DUMMYFUNCTION("IFNA(FILTER(Game_Data[RBI],Game_Data[Game #]=$A28,Game_Data[Player]=$D$1),"""")"),21.0)</f>
        <v>21</v>
      </c>
    </row>
    <row r="29" ht="22.5" customHeight="1">
      <c r="A29" s="35">
        <v>27.0</v>
      </c>
      <c r="B29" s="36" t="str">
        <f>IFNA(VLOOKUP($A29,Game_Data[],5,0),"")</f>
        <v>Storm</v>
      </c>
      <c r="C29" s="37">
        <f t="shared" si="1"/>
        <v>0.3666666667</v>
      </c>
      <c r="D29" s="37">
        <f t="shared" si="2"/>
        <v>0.475</v>
      </c>
      <c r="E29" s="37">
        <f t="shared" si="3"/>
        <v>0.5333333333</v>
      </c>
      <c r="F29" s="37">
        <f t="shared" si="4"/>
        <v>1.008333333</v>
      </c>
      <c r="G29" s="38">
        <f>IFERROR(__xludf.DUMMYFUNCTION("IFNA(FILTER(Game_Data[PA],Game_Data[Game #]=$A29,Game_Data[Player]=$D$1),"""")"),40.0)</f>
        <v>40</v>
      </c>
      <c r="H29" s="34">
        <f>IFERROR(__xludf.DUMMYFUNCTION("IFNA(FILTER(Game_Data[AB],Game_Data[Game #]=$A29,Game_Data[Player]=$D$1),"""")"),30.0)</f>
        <v>30</v>
      </c>
      <c r="I29" s="39">
        <f>IFERROR(__xludf.DUMMYFUNCTION("IFNA(FILTER(Game_Data[H],Game_Data[Game #]=$A29,Game_Data[Player]=$D$1),"""")"),11.0)</f>
        <v>11</v>
      </c>
      <c r="J29" s="34">
        <f>IFERROR(__xludf.DUMMYFUNCTION("IFNA(FILTER(Game_Data[1B],Game_Data[Game #]=$A29,Game_Data[Player]=$D$1),"""")"),7.0)</f>
        <v>7</v>
      </c>
      <c r="K29" s="34">
        <f>IFERROR(__xludf.DUMMYFUNCTION("IFNA(FILTER(Game_Data[2B],Game_Data[Game #]=$A29,Game_Data[Player]=$D$1),"""")"),3.0)</f>
        <v>3</v>
      </c>
      <c r="L29" s="34">
        <f>IFERROR(__xludf.DUMMYFUNCTION("IFNA(FILTER(Game_Data[3B],Game_Data[Game #]=$A29,Game_Data[Player]=$D$1),"""")"),1.0)</f>
        <v>1</v>
      </c>
      <c r="M29" s="34">
        <f>IFERROR(__xludf.DUMMYFUNCTION("IFNA(FILTER(Game_Data[4B],Game_Data[Game #]=$A29,Game_Data[Player]=$D$1),"""")"),0.0)</f>
        <v>0</v>
      </c>
      <c r="N29" s="34">
        <f>IFERROR(__xludf.DUMMYFUNCTION("IFNA(FILTER(Game_Data[HR],Game_Data[Game #]=$A29,Game_Data[Player]=$D$1),"""")"),0.0)</f>
        <v>0</v>
      </c>
      <c r="O29" s="34">
        <f>IFERROR(__xludf.DUMMYFUNCTION("IFNA(FILTER(Game_Data[FC],Game_Data[Game #]=$A29,Game_Data[Player]=$D$1),"""")"),5.0)</f>
        <v>5</v>
      </c>
      <c r="P29" s="34">
        <f>IFERROR(__xludf.DUMMYFUNCTION("IFNA(FILTER(Game_Data[BB],Game_Data[Game #]=$A29,Game_Data[Player]=$D$1),"""")"),8.0)</f>
        <v>8</v>
      </c>
      <c r="Q29" s="34">
        <f>IFERROR(__xludf.DUMMYFUNCTION("IFNA(FILTER(Game_Data[SF],Game_Data[Game #]=$A29,Game_Data[Player]=$D$1),"""")"),2.0)</f>
        <v>2</v>
      </c>
      <c r="R29" s="34">
        <f>IFERROR(__xludf.DUMMYFUNCTION("IFNA(FILTER(Game_Data[K],Game_Data[Game #]=$A29,Game_Data[Player]=$D$1),"""")"),0.0)</f>
        <v>0</v>
      </c>
      <c r="S29" s="34">
        <f>IFERROR(__xludf.DUMMYFUNCTION("IFNA(FILTER(Game_Data[KF],Game_Data[Game #]=$A29,Game_Data[Player]=$D$1),"""")"),0.0)</f>
        <v>0</v>
      </c>
      <c r="T29" s="34">
        <f>IFERROR(__xludf.DUMMYFUNCTION("IFNA(FILTER(Game_Data[GO],Game_Data[Game #]=$A29,Game_Data[Player]=$D$1),"""")"),3.0)</f>
        <v>3</v>
      </c>
      <c r="U29" s="34">
        <f>IFERROR(__xludf.DUMMYFUNCTION("IFNA(FILTER(Game_Data[FO],Game_Data[Game #]=$A29,Game_Data[Player]=$D$1),"""")"),11.0)</f>
        <v>11</v>
      </c>
      <c r="V29" s="34">
        <f>IFERROR(__xludf.DUMMYFUNCTION("IFNA(FILTER(Game_Data[R],Game_Data[Game #]=$A29,Game_Data[Player]=$D$1),"""")"),9.0)</f>
        <v>9</v>
      </c>
      <c r="W29" s="34">
        <f>IFERROR(__xludf.DUMMYFUNCTION("IFNA(FILTER(Game_Data[RBI],Game_Data[Game #]=$A29,Game_Data[Player]=$D$1),"""")"),9.0)</f>
        <v>9</v>
      </c>
    </row>
    <row r="30" ht="22.5" customHeight="1">
      <c r="A30" s="35">
        <v>28.0</v>
      </c>
      <c r="B30" s="36" t="str">
        <f>IFNA(VLOOKUP($A30,Game_Data[],5,0),"")</f>
        <v>The Crew</v>
      </c>
      <c r="C30" s="37">
        <f t="shared" si="1"/>
        <v>0.7027027027</v>
      </c>
      <c r="D30" s="37">
        <f t="shared" si="2"/>
        <v>0.725</v>
      </c>
      <c r="E30" s="37">
        <f t="shared" si="3"/>
        <v>1.108108108</v>
      </c>
      <c r="F30" s="37">
        <f t="shared" si="4"/>
        <v>1.833108108</v>
      </c>
      <c r="G30" s="38">
        <f>IFERROR(__xludf.DUMMYFUNCTION("IFNA(FILTER(Game_Data[PA],Game_Data[Game #]=$A30,Game_Data[Player]=$D$1),"""")"),40.0)</f>
        <v>40</v>
      </c>
      <c r="H30" s="34">
        <f>IFERROR(__xludf.DUMMYFUNCTION("IFNA(FILTER(Game_Data[AB],Game_Data[Game #]=$A30,Game_Data[Player]=$D$1),"""")"),37.0)</f>
        <v>37</v>
      </c>
      <c r="I30" s="39">
        <f>IFERROR(__xludf.DUMMYFUNCTION("IFNA(FILTER(Game_Data[H],Game_Data[Game #]=$A30,Game_Data[Player]=$D$1),"""")"),26.0)</f>
        <v>26</v>
      </c>
      <c r="J30" s="34">
        <f>IFERROR(__xludf.DUMMYFUNCTION("IFNA(FILTER(Game_Data[1B],Game_Data[Game #]=$A30,Game_Data[Player]=$D$1),"""")"),17.0)</f>
        <v>17</v>
      </c>
      <c r="K30" s="34">
        <f>IFERROR(__xludf.DUMMYFUNCTION("IFNA(FILTER(Game_Data[2B],Game_Data[Game #]=$A30,Game_Data[Player]=$D$1),"""")"),5.0)</f>
        <v>5</v>
      </c>
      <c r="L30" s="34">
        <f>IFERROR(__xludf.DUMMYFUNCTION("IFNA(FILTER(Game_Data[3B],Game_Data[Game #]=$A30,Game_Data[Player]=$D$1),"""")"),2.0)</f>
        <v>2</v>
      </c>
      <c r="M30" s="34">
        <f>IFERROR(__xludf.DUMMYFUNCTION("IFNA(FILTER(Game_Data[4B],Game_Data[Game #]=$A30,Game_Data[Player]=$D$1),"""")"),1.0)</f>
        <v>1</v>
      </c>
      <c r="N30" s="34">
        <f>IFERROR(__xludf.DUMMYFUNCTION("IFNA(FILTER(Game_Data[HR],Game_Data[Game #]=$A30,Game_Data[Player]=$D$1),"""")"),1.0)</f>
        <v>1</v>
      </c>
      <c r="O30" s="34">
        <f>IFERROR(__xludf.DUMMYFUNCTION("IFNA(FILTER(Game_Data[FC],Game_Data[Game #]=$A30,Game_Data[Player]=$D$1),"""")"),3.0)</f>
        <v>3</v>
      </c>
      <c r="P30" s="34">
        <f>IFERROR(__xludf.DUMMYFUNCTION("IFNA(FILTER(Game_Data[BB],Game_Data[Game #]=$A30,Game_Data[Player]=$D$1),"""")"),3.0)</f>
        <v>3</v>
      </c>
      <c r="Q30" s="34">
        <f>IFERROR(__xludf.DUMMYFUNCTION("IFNA(FILTER(Game_Data[SF],Game_Data[Game #]=$A30,Game_Data[Player]=$D$1),"""")"),0.0)</f>
        <v>0</v>
      </c>
      <c r="R30" s="34">
        <f>IFERROR(__xludf.DUMMYFUNCTION("IFNA(FILTER(Game_Data[K],Game_Data[Game #]=$A30,Game_Data[Player]=$D$1),"""")"),0.0)</f>
        <v>0</v>
      </c>
      <c r="S30" s="34">
        <f>IFERROR(__xludf.DUMMYFUNCTION("IFNA(FILTER(Game_Data[KF],Game_Data[Game #]=$A30,Game_Data[Player]=$D$1),"""")"),0.0)</f>
        <v>0</v>
      </c>
      <c r="T30" s="34">
        <f>IFERROR(__xludf.DUMMYFUNCTION("IFNA(FILTER(Game_Data[GO],Game_Data[Game #]=$A30,Game_Data[Player]=$D$1),"""")"),2.0)</f>
        <v>2</v>
      </c>
      <c r="U30" s="34">
        <f>IFERROR(__xludf.DUMMYFUNCTION("IFNA(FILTER(Game_Data[FO],Game_Data[Game #]=$A30,Game_Data[Player]=$D$1),"""")"),6.0)</f>
        <v>6</v>
      </c>
      <c r="V30" s="34">
        <f>IFERROR(__xludf.DUMMYFUNCTION("IFNA(FILTER(Game_Data[R],Game_Data[Game #]=$A30,Game_Data[Player]=$D$1),"""")"),18.0)</f>
        <v>18</v>
      </c>
      <c r="W30" s="34">
        <f>IFERROR(__xludf.DUMMYFUNCTION("IFNA(FILTER(Game_Data[RBI],Game_Data[Game #]=$A30,Game_Data[Player]=$D$1),"""")"),18.0)</f>
        <v>18</v>
      </c>
    </row>
    <row r="31" ht="22.5" customHeight="1">
      <c r="A31" s="35">
        <v>29.0</v>
      </c>
      <c r="B31" s="36" t="str">
        <f>IFNA(VLOOKUP($A31,Game_Data[],5,0),"")</f>
        <v>Inglorious Batters</v>
      </c>
      <c r="C31" s="37">
        <f t="shared" si="1"/>
        <v>0.5476190476</v>
      </c>
      <c r="D31" s="37">
        <f t="shared" si="2"/>
        <v>0.5454545455</v>
      </c>
      <c r="E31" s="37">
        <f t="shared" si="3"/>
        <v>0.7380952381</v>
      </c>
      <c r="F31" s="37">
        <f t="shared" si="4"/>
        <v>1.283549784</v>
      </c>
      <c r="G31" s="38">
        <f>IFERROR(__xludf.DUMMYFUNCTION("IFNA(FILTER(Game_Data[PA],Game_Data[Game #]=$A31,Game_Data[Player]=$D$1),"""")"),44.0)</f>
        <v>44</v>
      </c>
      <c r="H31" s="34">
        <f>IFERROR(__xludf.DUMMYFUNCTION("IFNA(FILTER(Game_Data[AB],Game_Data[Game #]=$A31,Game_Data[Player]=$D$1),"""")"),42.0)</f>
        <v>42</v>
      </c>
      <c r="I31" s="39">
        <f>IFERROR(__xludf.DUMMYFUNCTION("IFNA(FILTER(Game_Data[H],Game_Data[Game #]=$A31,Game_Data[Player]=$D$1),"""")"),23.0)</f>
        <v>23</v>
      </c>
      <c r="J31" s="34">
        <f>IFERROR(__xludf.DUMMYFUNCTION("IFNA(FILTER(Game_Data[1B],Game_Data[Game #]=$A31,Game_Data[Player]=$D$1),"""")"),16.0)</f>
        <v>16</v>
      </c>
      <c r="K31" s="34">
        <f>IFERROR(__xludf.DUMMYFUNCTION("IFNA(FILTER(Game_Data[2B],Game_Data[Game #]=$A31,Game_Data[Player]=$D$1),"""")"),6.0)</f>
        <v>6</v>
      </c>
      <c r="L31" s="34">
        <f>IFERROR(__xludf.DUMMYFUNCTION("IFNA(FILTER(Game_Data[3B],Game_Data[Game #]=$A31,Game_Data[Player]=$D$1),"""")"),1.0)</f>
        <v>1</v>
      </c>
      <c r="M31" s="34">
        <f>IFERROR(__xludf.DUMMYFUNCTION("IFNA(FILTER(Game_Data[4B],Game_Data[Game #]=$A31,Game_Data[Player]=$D$1),"""")"),0.0)</f>
        <v>0</v>
      </c>
      <c r="N31" s="34">
        <f>IFERROR(__xludf.DUMMYFUNCTION("IFNA(FILTER(Game_Data[HR],Game_Data[Game #]=$A31,Game_Data[Player]=$D$1),"""")"),0.0)</f>
        <v>0</v>
      </c>
      <c r="O31" s="34">
        <f>IFERROR(__xludf.DUMMYFUNCTION("IFNA(FILTER(Game_Data[FC],Game_Data[Game #]=$A31,Game_Data[Player]=$D$1),"""")"),3.0)</f>
        <v>3</v>
      </c>
      <c r="P31" s="34">
        <f>IFERROR(__xludf.DUMMYFUNCTION("IFNA(FILTER(Game_Data[BB],Game_Data[Game #]=$A31,Game_Data[Player]=$D$1),"""")"),1.0)</f>
        <v>1</v>
      </c>
      <c r="Q31" s="34">
        <f>IFERROR(__xludf.DUMMYFUNCTION("IFNA(FILTER(Game_Data[SF],Game_Data[Game #]=$A31,Game_Data[Player]=$D$1),"""")"),1.0)</f>
        <v>1</v>
      </c>
      <c r="R31" s="34">
        <f>IFERROR(__xludf.DUMMYFUNCTION("IFNA(FILTER(Game_Data[K],Game_Data[Game #]=$A31,Game_Data[Player]=$D$1),"""")"),0.0)</f>
        <v>0</v>
      </c>
      <c r="S31" s="34">
        <f>IFERROR(__xludf.DUMMYFUNCTION("IFNA(FILTER(Game_Data[KF],Game_Data[Game #]=$A31,Game_Data[Player]=$D$1),"""")"),0.0)</f>
        <v>0</v>
      </c>
      <c r="T31" s="34">
        <f>IFERROR(__xludf.DUMMYFUNCTION("IFNA(FILTER(Game_Data[GO],Game_Data[Game #]=$A31,Game_Data[Player]=$D$1),"""")"),2.0)</f>
        <v>2</v>
      </c>
      <c r="U31" s="34">
        <f>IFERROR(__xludf.DUMMYFUNCTION("IFNA(FILTER(Game_Data[FO],Game_Data[Game #]=$A31,Game_Data[Player]=$D$1),"""")"),14.0)</f>
        <v>14</v>
      </c>
      <c r="V31" s="34">
        <f>IFERROR(__xludf.DUMMYFUNCTION("IFNA(FILTER(Game_Data[R],Game_Data[Game #]=$A31,Game_Data[Player]=$D$1),"""")"),15.0)</f>
        <v>15</v>
      </c>
      <c r="W31" s="34">
        <f>IFERROR(__xludf.DUMMYFUNCTION("IFNA(FILTER(Game_Data[RBI],Game_Data[Game #]=$A31,Game_Data[Player]=$D$1),"""")"),15.0)</f>
        <v>15</v>
      </c>
    </row>
    <row r="32" ht="22.5" customHeight="1">
      <c r="A32" s="35">
        <v>30.0</v>
      </c>
      <c r="B32" s="36" t="str">
        <f>IFNA(VLOOKUP($A32,Game_Data[],5,0),"")</f>
        <v>Falcons</v>
      </c>
      <c r="C32" s="37">
        <f t="shared" si="1"/>
        <v>0.5641025641</v>
      </c>
      <c r="D32" s="37">
        <f t="shared" si="2"/>
        <v>0.5882352941</v>
      </c>
      <c r="E32" s="37">
        <f t="shared" si="3"/>
        <v>0.9230769231</v>
      </c>
      <c r="F32" s="37">
        <f t="shared" si="4"/>
        <v>1.511312217</v>
      </c>
      <c r="G32" s="38">
        <f>IFERROR(__xludf.DUMMYFUNCTION("IFNA(FILTER(Game_Data[PA],Game_Data[Game #]=$A32,Game_Data[Player]=$D$1),"""")"),51.0)</f>
        <v>51</v>
      </c>
      <c r="H32" s="34">
        <f>IFERROR(__xludf.DUMMYFUNCTION("IFNA(FILTER(Game_Data[AB],Game_Data[Game #]=$A32,Game_Data[Player]=$D$1),"""")"),39.0)</f>
        <v>39</v>
      </c>
      <c r="I32" s="39">
        <f>IFERROR(__xludf.DUMMYFUNCTION("IFNA(FILTER(Game_Data[H],Game_Data[Game #]=$A32,Game_Data[Player]=$D$1),"""")"),22.0)</f>
        <v>22</v>
      </c>
      <c r="J32" s="34">
        <f>IFERROR(__xludf.DUMMYFUNCTION("IFNA(FILTER(Game_Data[1B],Game_Data[Game #]=$A32,Game_Data[Player]=$D$1),"""")"),12.0)</f>
        <v>12</v>
      </c>
      <c r="K32" s="34">
        <f>IFERROR(__xludf.DUMMYFUNCTION("IFNA(FILTER(Game_Data[2B],Game_Data[Game #]=$A32,Game_Data[Player]=$D$1),"""")"),7.0)</f>
        <v>7</v>
      </c>
      <c r="L32" s="34">
        <f>IFERROR(__xludf.DUMMYFUNCTION("IFNA(FILTER(Game_Data[3B],Game_Data[Game #]=$A32,Game_Data[Player]=$D$1),"""")"),2.0)</f>
        <v>2</v>
      </c>
      <c r="M32" s="34">
        <f>IFERROR(__xludf.DUMMYFUNCTION("IFNA(FILTER(Game_Data[4B],Game_Data[Game #]=$A32,Game_Data[Player]=$D$1),"""")"),1.0)</f>
        <v>1</v>
      </c>
      <c r="N32" s="34">
        <f>IFERROR(__xludf.DUMMYFUNCTION("IFNA(FILTER(Game_Data[HR],Game_Data[Game #]=$A32,Game_Data[Player]=$D$1),"""")"),0.0)</f>
        <v>0</v>
      </c>
      <c r="O32" s="34">
        <f>IFERROR(__xludf.DUMMYFUNCTION("IFNA(FILTER(Game_Data[FC],Game_Data[Game #]=$A32,Game_Data[Player]=$D$1),"""")"),2.0)</f>
        <v>2</v>
      </c>
      <c r="P32" s="34">
        <f>IFERROR(__xludf.DUMMYFUNCTION("IFNA(FILTER(Game_Data[BB],Game_Data[Game #]=$A32,Game_Data[Player]=$D$1),"""")"),8.0)</f>
        <v>8</v>
      </c>
      <c r="Q32" s="34">
        <f>IFERROR(__xludf.DUMMYFUNCTION("IFNA(FILTER(Game_Data[SF],Game_Data[Game #]=$A32,Game_Data[Player]=$D$1),"""")"),4.0)</f>
        <v>4</v>
      </c>
      <c r="R32" s="34">
        <f>IFERROR(__xludf.DUMMYFUNCTION("IFNA(FILTER(Game_Data[K],Game_Data[Game #]=$A32,Game_Data[Player]=$D$1),"""")"),0.0)</f>
        <v>0</v>
      </c>
      <c r="S32" s="34">
        <f>IFERROR(__xludf.DUMMYFUNCTION("IFNA(FILTER(Game_Data[KF],Game_Data[Game #]=$A32,Game_Data[Player]=$D$1),"""")"),0.0)</f>
        <v>0</v>
      </c>
      <c r="T32" s="34">
        <f>IFERROR(__xludf.DUMMYFUNCTION("IFNA(FILTER(Game_Data[GO],Game_Data[Game #]=$A32,Game_Data[Player]=$D$1),"""")"),0.0)</f>
        <v>0</v>
      </c>
      <c r="U32" s="34">
        <f>IFERROR(__xludf.DUMMYFUNCTION("IFNA(FILTER(Game_Data[FO],Game_Data[Game #]=$A32,Game_Data[Player]=$D$1),"""")"),15.0)</f>
        <v>15</v>
      </c>
      <c r="V32" s="34">
        <f>IFERROR(__xludf.DUMMYFUNCTION("IFNA(FILTER(Game_Data[R],Game_Data[Game #]=$A32,Game_Data[Player]=$D$1),"""")"),21.0)</f>
        <v>21</v>
      </c>
      <c r="W32" s="34">
        <f>IFERROR(__xludf.DUMMYFUNCTION("IFNA(FILTER(Game_Data[RBI],Game_Data[Game #]=$A32,Game_Data[Player]=$D$1),"""")"),21.0)</f>
        <v>21</v>
      </c>
    </row>
    <row r="33" ht="22.5" customHeight="1">
      <c r="A33" s="35">
        <v>31.0</v>
      </c>
      <c r="B33" s="36" t="str">
        <f>IFNA(VLOOKUP($A33,Game_Data[],5,0),"")</f>
        <v>Triple Play</v>
      </c>
      <c r="C33" s="37">
        <f t="shared" si="1"/>
        <v>0.4705882353</v>
      </c>
      <c r="D33" s="37">
        <f t="shared" si="2"/>
        <v>0.5</v>
      </c>
      <c r="E33" s="37">
        <f t="shared" si="3"/>
        <v>0.6176470588</v>
      </c>
      <c r="F33" s="37">
        <f t="shared" si="4"/>
        <v>1.117647059</v>
      </c>
      <c r="G33" s="38">
        <f>IFERROR(__xludf.DUMMYFUNCTION("IFNA(FILTER(Game_Data[PA],Game_Data[Game #]=$A33,Game_Data[Player]=$D$1),"""")"),36.0)</f>
        <v>36</v>
      </c>
      <c r="H33" s="34">
        <f>IFERROR(__xludf.DUMMYFUNCTION("IFNA(FILTER(Game_Data[AB],Game_Data[Game #]=$A33,Game_Data[Player]=$D$1),"""")"),34.0)</f>
        <v>34</v>
      </c>
      <c r="I33" s="39">
        <f>IFERROR(__xludf.DUMMYFUNCTION("IFNA(FILTER(Game_Data[H],Game_Data[Game #]=$A33,Game_Data[Player]=$D$1),"""")"),16.0)</f>
        <v>16</v>
      </c>
      <c r="J33" s="34">
        <f>IFERROR(__xludf.DUMMYFUNCTION("IFNA(FILTER(Game_Data[1B],Game_Data[Game #]=$A33,Game_Data[Player]=$D$1),"""")"),13.0)</f>
        <v>13</v>
      </c>
      <c r="K33" s="34">
        <f>IFERROR(__xludf.DUMMYFUNCTION("IFNA(FILTER(Game_Data[2B],Game_Data[Game #]=$A33,Game_Data[Player]=$D$1),"""")"),2.0)</f>
        <v>2</v>
      </c>
      <c r="L33" s="34">
        <f>IFERROR(__xludf.DUMMYFUNCTION("IFNA(FILTER(Game_Data[3B],Game_Data[Game #]=$A33,Game_Data[Player]=$D$1),"""")"),0.0)</f>
        <v>0</v>
      </c>
      <c r="M33" s="34">
        <f>IFERROR(__xludf.DUMMYFUNCTION("IFNA(FILTER(Game_Data[4B],Game_Data[Game #]=$A33,Game_Data[Player]=$D$1),"""")"),0.0)</f>
        <v>0</v>
      </c>
      <c r="N33" s="34">
        <f>IFERROR(__xludf.DUMMYFUNCTION("IFNA(FILTER(Game_Data[HR],Game_Data[Game #]=$A33,Game_Data[Player]=$D$1),"""")"),1.0)</f>
        <v>1</v>
      </c>
      <c r="O33" s="34">
        <f>IFERROR(__xludf.DUMMYFUNCTION("IFNA(FILTER(Game_Data[FC],Game_Data[Game #]=$A33,Game_Data[Player]=$D$1),"""")"),1.0)</f>
        <v>1</v>
      </c>
      <c r="P33" s="34">
        <f>IFERROR(__xludf.DUMMYFUNCTION("IFNA(FILTER(Game_Data[BB],Game_Data[Game #]=$A33,Game_Data[Player]=$D$1),"""")"),2.0)</f>
        <v>2</v>
      </c>
      <c r="Q33" s="34">
        <f>IFERROR(__xludf.DUMMYFUNCTION("IFNA(FILTER(Game_Data[SF],Game_Data[Game #]=$A33,Game_Data[Player]=$D$1),"""")"),0.0)</f>
        <v>0</v>
      </c>
      <c r="R33" s="34">
        <f>IFERROR(__xludf.DUMMYFUNCTION("IFNA(FILTER(Game_Data[K],Game_Data[Game #]=$A33,Game_Data[Player]=$D$1),"""")"),1.0)</f>
        <v>1</v>
      </c>
      <c r="S33" s="34">
        <f>IFERROR(__xludf.DUMMYFUNCTION("IFNA(FILTER(Game_Data[KF],Game_Data[Game #]=$A33,Game_Data[Player]=$D$1),"""")"),0.0)</f>
        <v>0</v>
      </c>
      <c r="T33" s="34">
        <f>IFERROR(__xludf.DUMMYFUNCTION("IFNA(FILTER(Game_Data[GO],Game_Data[Game #]=$A33,Game_Data[Player]=$D$1),"""")"),0.0)</f>
        <v>0</v>
      </c>
      <c r="U33" s="34">
        <f>IFERROR(__xludf.DUMMYFUNCTION("IFNA(FILTER(Game_Data[FO],Game_Data[Game #]=$A33,Game_Data[Player]=$D$1),"""")"),16.0)</f>
        <v>16</v>
      </c>
      <c r="V33" s="34">
        <f>IFERROR(__xludf.DUMMYFUNCTION("IFNA(FILTER(Game_Data[R],Game_Data[Game #]=$A33,Game_Data[Player]=$D$1),"""")"),8.0)</f>
        <v>8</v>
      </c>
      <c r="W33" s="34">
        <f>IFERROR(__xludf.DUMMYFUNCTION("IFNA(FILTER(Game_Data[RBI],Game_Data[Game #]=$A33,Game_Data[Player]=$D$1),"""")"),8.0)</f>
        <v>8</v>
      </c>
    </row>
    <row r="34" ht="22.5" customHeight="1">
      <c r="A34" s="35">
        <v>32.0</v>
      </c>
      <c r="B34" s="36" t="str">
        <f>IFNA(VLOOKUP($A34,Game_Data[],5,0),"")</f>
        <v>Hanet Plastics</v>
      </c>
      <c r="C34" s="37">
        <f t="shared" si="1"/>
        <v>0.6</v>
      </c>
      <c r="D34" s="37">
        <f t="shared" si="2"/>
        <v>0.64</v>
      </c>
      <c r="E34" s="37">
        <f t="shared" si="3"/>
        <v>0.775</v>
      </c>
      <c r="F34" s="37">
        <f t="shared" si="4"/>
        <v>1.415</v>
      </c>
      <c r="G34" s="38">
        <f>IFERROR(__xludf.DUMMYFUNCTION("IFNA(FILTER(Game_Data[PA],Game_Data[Game #]=$A34,Game_Data[Player]=$D$1),"""")"),50.0)</f>
        <v>50</v>
      </c>
      <c r="H34" s="34">
        <f>IFERROR(__xludf.DUMMYFUNCTION("IFNA(FILTER(Game_Data[AB],Game_Data[Game #]=$A34,Game_Data[Player]=$D$1),"""")"),40.0)</f>
        <v>40</v>
      </c>
      <c r="I34" s="39">
        <f>IFERROR(__xludf.DUMMYFUNCTION("IFNA(FILTER(Game_Data[H],Game_Data[Game #]=$A34,Game_Data[Player]=$D$1),"""")"),24.0)</f>
        <v>24</v>
      </c>
      <c r="J34" s="34">
        <f>IFERROR(__xludf.DUMMYFUNCTION("IFNA(FILTER(Game_Data[1B],Game_Data[Game #]=$A34,Game_Data[Player]=$D$1),"""")"),19.0)</f>
        <v>19</v>
      </c>
      <c r="K34" s="34">
        <f>IFERROR(__xludf.DUMMYFUNCTION("IFNA(FILTER(Game_Data[2B],Game_Data[Game #]=$A34,Game_Data[Player]=$D$1),"""")"),4.0)</f>
        <v>4</v>
      </c>
      <c r="L34" s="34">
        <f>IFERROR(__xludf.DUMMYFUNCTION("IFNA(FILTER(Game_Data[3B],Game_Data[Game #]=$A34,Game_Data[Player]=$D$1),"""")"),0.0)</f>
        <v>0</v>
      </c>
      <c r="M34" s="34">
        <f>IFERROR(__xludf.DUMMYFUNCTION("IFNA(FILTER(Game_Data[4B],Game_Data[Game #]=$A34,Game_Data[Player]=$D$1),"""")"),1.0)</f>
        <v>1</v>
      </c>
      <c r="N34" s="34">
        <f>IFERROR(__xludf.DUMMYFUNCTION("IFNA(FILTER(Game_Data[HR],Game_Data[Game #]=$A34,Game_Data[Player]=$D$1),"""")"),0.0)</f>
        <v>0</v>
      </c>
      <c r="O34" s="34">
        <f>IFERROR(__xludf.DUMMYFUNCTION("IFNA(FILTER(Game_Data[FC],Game_Data[Game #]=$A34,Game_Data[Player]=$D$1),"""")"),1.0)</f>
        <v>1</v>
      </c>
      <c r="P34" s="34">
        <f>IFERROR(__xludf.DUMMYFUNCTION("IFNA(FILTER(Game_Data[BB],Game_Data[Game #]=$A34,Game_Data[Player]=$D$1),"""")"),8.0)</f>
        <v>8</v>
      </c>
      <c r="Q34" s="34">
        <f>IFERROR(__xludf.DUMMYFUNCTION("IFNA(FILTER(Game_Data[SF],Game_Data[Game #]=$A34,Game_Data[Player]=$D$1),"""")"),2.0)</f>
        <v>2</v>
      </c>
      <c r="R34" s="34">
        <f>IFERROR(__xludf.DUMMYFUNCTION("IFNA(FILTER(Game_Data[K],Game_Data[Game #]=$A34,Game_Data[Player]=$D$1),"""")"),0.0)</f>
        <v>0</v>
      </c>
      <c r="S34" s="34">
        <f>IFERROR(__xludf.DUMMYFUNCTION("IFNA(FILTER(Game_Data[KF],Game_Data[Game #]=$A34,Game_Data[Player]=$D$1),"""")"),0.0)</f>
        <v>0</v>
      </c>
      <c r="T34" s="34">
        <f>IFERROR(__xludf.DUMMYFUNCTION("IFNA(FILTER(Game_Data[GO],Game_Data[Game #]=$A34,Game_Data[Player]=$D$1),"""")"),3.0)</f>
        <v>3</v>
      </c>
      <c r="U34" s="34">
        <f>IFERROR(__xludf.DUMMYFUNCTION("IFNA(FILTER(Game_Data[FO],Game_Data[Game #]=$A34,Game_Data[Player]=$D$1),"""")"),12.0)</f>
        <v>12</v>
      </c>
      <c r="V34" s="34">
        <f>IFERROR(__xludf.DUMMYFUNCTION("IFNA(FILTER(Game_Data[R],Game_Data[Game #]=$A34,Game_Data[Player]=$D$1),"""")"),20.0)</f>
        <v>20</v>
      </c>
      <c r="W34" s="34">
        <f>IFERROR(__xludf.DUMMYFUNCTION("IFNA(FILTER(Game_Data[RBI],Game_Data[Game #]=$A34,Game_Data[Player]=$D$1),"""")"),20.0)</f>
        <v>20</v>
      </c>
    </row>
    <row r="35" ht="22.5" customHeight="1">
      <c r="A35" s="35">
        <v>33.0</v>
      </c>
      <c r="B35" s="36" t="str">
        <f>IFNA(VLOOKUP($A35,Game_Data[],5,0),"")</f>
        <v>Surge</v>
      </c>
      <c r="C35" s="37">
        <f t="shared" si="1"/>
        <v>0.6956521739</v>
      </c>
      <c r="D35" s="37">
        <f t="shared" si="2"/>
        <v>0.6923076923</v>
      </c>
      <c r="E35" s="37">
        <f t="shared" si="3"/>
        <v>1.326086957</v>
      </c>
      <c r="F35" s="37">
        <f t="shared" si="4"/>
        <v>2.018394649</v>
      </c>
      <c r="G35" s="38">
        <f>IFERROR(__xludf.DUMMYFUNCTION("IFNA(FILTER(Game_Data[PA],Game_Data[Game #]=$A35,Game_Data[Player]=$D$1),"""")"),52.0)</f>
        <v>52</v>
      </c>
      <c r="H35" s="34">
        <f>IFERROR(__xludf.DUMMYFUNCTION("IFNA(FILTER(Game_Data[AB],Game_Data[Game #]=$A35,Game_Data[Player]=$D$1),"""")"),46.0)</f>
        <v>46</v>
      </c>
      <c r="I35" s="39">
        <f>IFERROR(__xludf.DUMMYFUNCTION("IFNA(FILTER(Game_Data[H],Game_Data[Game #]=$A35,Game_Data[Player]=$D$1),"""")"),32.0)</f>
        <v>32</v>
      </c>
      <c r="J35" s="34">
        <f>IFERROR(__xludf.DUMMYFUNCTION("IFNA(FILTER(Game_Data[1B],Game_Data[Game #]=$A35,Game_Data[Player]=$D$1),"""")"),14.0)</f>
        <v>14</v>
      </c>
      <c r="K35" s="34">
        <f>IFERROR(__xludf.DUMMYFUNCTION("IFNA(FILTER(Game_Data[2B],Game_Data[Game #]=$A35,Game_Data[Player]=$D$1),"""")"),11.0)</f>
        <v>11</v>
      </c>
      <c r="L35" s="34">
        <f>IFERROR(__xludf.DUMMYFUNCTION("IFNA(FILTER(Game_Data[3B],Game_Data[Game #]=$A35,Game_Data[Player]=$D$1),"""")"),3.0)</f>
        <v>3</v>
      </c>
      <c r="M35" s="34">
        <f>IFERROR(__xludf.DUMMYFUNCTION("IFNA(FILTER(Game_Data[4B],Game_Data[Game #]=$A35,Game_Data[Player]=$D$1),"""")"),1.0)</f>
        <v>1</v>
      </c>
      <c r="N35" s="34">
        <f>IFERROR(__xludf.DUMMYFUNCTION("IFNA(FILTER(Game_Data[HR],Game_Data[Game #]=$A35,Game_Data[Player]=$D$1),"""")"),3.0)</f>
        <v>3</v>
      </c>
      <c r="O35" s="34">
        <f>IFERROR(__xludf.DUMMYFUNCTION("IFNA(FILTER(Game_Data[FC],Game_Data[Game #]=$A35,Game_Data[Player]=$D$1),"""")"),2.0)</f>
        <v>2</v>
      </c>
      <c r="P35" s="34">
        <f>IFERROR(__xludf.DUMMYFUNCTION("IFNA(FILTER(Game_Data[BB],Game_Data[Game #]=$A35,Game_Data[Player]=$D$1),"""")"),4.0)</f>
        <v>4</v>
      </c>
      <c r="Q35" s="34">
        <f>IFERROR(__xludf.DUMMYFUNCTION("IFNA(FILTER(Game_Data[SF],Game_Data[Game #]=$A35,Game_Data[Player]=$D$1),"""")"),2.0)</f>
        <v>2</v>
      </c>
      <c r="R35" s="34">
        <f>IFERROR(__xludf.DUMMYFUNCTION("IFNA(FILTER(Game_Data[K],Game_Data[Game #]=$A35,Game_Data[Player]=$D$1),"""")"),0.0)</f>
        <v>0</v>
      </c>
      <c r="S35" s="34">
        <f>IFERROR(__xludf.DUMMYFUNCTION("IFNA(FILTER(Game_Data[KF],Game_Data[Game #]=$A35,Game_Data[Player]=$D$1),"""")"),1.0)</f>
        <v>1</v>
      </c>
      <c r="T35" s="34">
        <f>IFERROR(__xludf.DUMMYFUNCTION("IFNA(FILTER(Game_Data[GO],Game_Data[Game #]=$A35,Game_Data[Player]=$D$1),"""")"),1.0)</f>
        <v>1</v>
      </c>
      <c r="U35" s="34">
        <f>IFERROR(__xludf.DUMMYFUNCTION("IFNA(FILTER(Game_Data[FO],Game_Data[Game #]=$A35,Game_Data[Player]=$D$1),"""")"),10.0)</f>
        <v>10</v>
      </c>
      <c r="V35" s="34">
        <f>IFERROR(__xludf.DUMMYFUNCTION("IFNA(FILTER(Game_Data[R],Game_Data[Game #]=$A35,Game_Data[Player]=$D$1),"""")"),25.0)</f>
        <v>25</v>
      </c>
      <c r="W35" s="34">
        <f>IFERROR(__xludf.DUMMYFUNCTION("IFNA(FILTER(Game_Data[RBI],Game_Data[Game #]=$A35,Game_Data[Player]=$D$1),"""")"),26.0)</f>
        <v>26</v>
      </c>
    </row>
    <row r="36" ht="22.5" customHeight="1">
      <c r="A36" s="35">
        <v>34.0</v>
      </c>
      <c r="B36" s="36" t="str">
        <f>IFNA(VLOOKUP($A36,Game_Data[],5,0),"")</f>
        <v>The Expos</v>
      </c>
      <c r="C36" s="37">
        <f t="shared" si="1"/>
        <v>0.5348837209</v>
      </c>
      <c r="D36" s="37">
        <f t="shared" si="2"/>
        <v>0.5333333333</v>
      </c>
      <c r="E36" s="37">
        <f t="shared" si="3"/>
        <v>0.7906976744</v>
      </c>
      <c r="F36" s="37">
        <f t="shared" si="4"/>
        <v>1.324031008</v>
      </c>
      <c r="G36" s="38">
        <f>IFERROR(__xludf.DUMMYFUNCTION("IFNA(FILTER(Game_Data[PA],Game_Data[Game #]=$A36,Game_Data[Player]=$D$1),"""")"),45.0)</f>
        <v>45</v>
      </c>
      <c r="H36" s="34">
        <f>IFERROR(__xludf.DUMMYFUNCTION("IFNA(FILTER(Game_Data[AB],Game_Data[Game #]=$A36,Game_Data[Player]=$D$1),"""")"),43.0)</f>
        <v>43</v>
      </c>
      <c r="I36" s="39">
        <f>IFERROR(__xludf.DUMMYFUNCTION("IFNA(FILTER(Game_Data[H],Game_Data[Game #]=$A36,Game_Data[Player]=$D$1),"""")"),23.0)</f>
        <v>23</v>
      </c>
      <c r="J36" s="34">
        <f>IFERROR(__xludf.DUMMYFUNCTION("IFNA(FILTER(Game_Data[1B],Game_Data[Game #]=$A36,Game_Data[Player]=$D$1),"""")"),15.0)</f>
        <v>15</v>
      </c>
      <c r="K36" s="34">
        <f>IFERROR(__xludf.DUMMYFUNCTION("IFNA(FILTER(Game_Data[2B],Game_Data[Game #]=$A36,Game_Data[Player]=$D$1),"""")"),6.0)</f>
        <v>6</v>
      </c>
      <c r="L36" s="34">
        <f>IFERROR(__xludf.DUMMYFUNCTION("IFNA(FILTER(Game_Data[3B],Game_Data[Game #]=$A36,Game_Data[Player]=$D$1),"""")"),1.0)</f>
        <v>1</v>
      </c>
      <c r="M36" s="34">
        <f>IFERROR(__xludf.DUMMYFUNCTION("IFNA(FILTER(Game_Data[4B],Game_Data[Game #]=$A36,Game_Data[Player]=$D$1),"""")"),0.0)</f>
        <v>0</v>
      </c>
      <c r="N36" s="34">
        <f>IFERROR(__xludf.DUMMYFUNCTION("IFNA(FILTER(Game_Data[HR],Game_Data[Game #]=$A36,Game_Data[Player]=$D$1),"""")"),1.0)</f>
        <v>1</v>
      </c>
      <c r="O36" s="34">
        <f>IFERROR(__xludf.DUMMYFUNCTION("IFNA(FILTER(Game_Data[FC],Game_Data[Game #]=$A36,Game_Data[Player]=$D$1),"""")"),1.0)</f>
        <v>1</v>
      </c>
      <c r="P36" s="34">
        <f>IFERROR(__xludf.DUMMYFUNCTION("IFNA(FILTER(Game_Data[BB],Game_Data[Game #]=$A36,Game_Data[Player]=$D$1),"""")"),1.0)</f>
        <v>1</v>
      </c>
      <c r="Q36" s="34">
        <f>IFERROR(__xludf.DUMMYFUNCTION("IFNA(FILTER(Game_Data[SF],Game_Data[Game #]=$A36,Game_Data[Player]=$D$1),"""")"),1.0)</f>
        <v>1</v>
      </c>
      <c r="R36" s="34">
        <f>IFERROR(__xludf.DUMMYFUNCTION("IFNA(FILTER(Game_Data[K],Game_Data[Game #]=$A36,Game_Data[Player]=$D$1),"""")"),1.0)</f>
        <v>1</v>
      </c>
      <c r="S36" s="34">
        <f>IFERROR(__xludf.DUMMYFUNCTION("IFNA(FILTER(Game_Data[KF],Game_Data[Game #]=$A36,Game_Data[Player]=$D$1),"""")"),0.0)</f>
        <v>0</v>
      </c>
      <c r="T36" s="34">
        <f>IFERROR(__xludf.DUMMYFUNCTION("IFNA(FILTER(Game_Data[GO],Game_Data[Game #]=$A36,Game_Data[Player]=$D$1),"""")"),6.0)</f>
        <v>6</v>
      </c>
      <c r="U36" s="34">
        <f>IFERROR(__xludf.DUMMYFUNCTION("IFNA(FILTER(Game_Data[FO],Game_Data[Game #]=$A36,Game_Data[Player]=$D$1),"""")"),12.0)</f>
        <v>12</v>
      </c>
      <c r="V36" s="34">
        <f>IFERROR(__xludf.DUMMYFUNCTION("IFNA(FILTER(Game_Data[R],Game_Data[Game #]=$A36,Game_Data[Player]=$D$1),"""")"),13.0)</f>
        <v>13</v>
      </c>
      <c r="W36" s="34">
        <f>IFERROR(__xludf.DUMMYFUNCTION("IFNA(FILTER(Game_Data[RBI],Game_Data[Game #]=$A36,Game_Data[Player]=$D$1),"""")"),13.0)</f>
        <v>13</v>
      </c>
    </row>
    <row r="37" ht="22.5" customHeight="1">
      <c r="A37" s="35">
        <v>35.0</v>
      </c>
      <c r="B37" s="36" t="str">
        <f>IFNA(VLOOKUP($A37,Game_Data[],5,0),"")</f>
        <v>The Expos</v>
      </c>
      <c r="C37" s="37">
        <f t="shared" si="1"/>
        <v>0.5581395349</v>
      </c>
      <c r="D37" s="37">
        <f t="shared" si="2"/>
        <v>0.5681818182</v>
      </c>
      <c r="E37" s="37">
        <f t="shared" si="3"/>
        <v>0.6976744186</v>
      </c>
      <c r="F37" s="37">
        <f t="shared" si="4"/>
        <v>1.265856237</v>
      </c>
      <c r="G37" s="38">
        <f>IFERROR(__xludf.DUMMYFUNCTION("IFNA(FILTER(Game_Data[PA],Game_Data[Game #]=$A37,Game_Data[Player]=$D$1),"""")"),44.0)</f>
        <v>44</v>
      </c>
      <c r="H37" s="34">
        <f>IFERROR(__xludf.DUMMYFUNCTION("IFNA(FILTER(Game_Data[AB],Game_Data[Game #]=$A37,Game_Data[Player]=$D$1),"""")"),43.0)</f>
        <v>43</v>
      </c>
      <c r="I37" s="39">
        <f>IFERROR(__xludf.DUMMYFUNCTION("IFNA(FILTER(Game_Data[H],Game_Data[Game #]=$A37,Game_Data[Player]=$D$1),"""")"),24.0)</f>
        <v>24</v>
      </c>
      <c r="J37" s="34">
        <f>IFERROR(__xludf.DUMMYFUNCTION("IFNA(FILTER(Game_Data[1B],Game_Data[Game #]=$A37,Game_Data[Player]=$D$1),"""")"),19.0)</f>
        <v>19</v>
      </c>
      <c r="K37" s="34">
        <f>IFERROR(__xludf.DUMMYFUNCTION("IFNA(FILTER(Game_Data[2B],Game_Data[Game #]=$A37,Game_Data[Player]=$D$1),"""")"),4.0)</f>
        <v>4</v>
      </c>
      <c r="L37" s="34">
        <f>IFERROR(__xludf.DUMMYFUNCTION("IFNA(FILTER(Game_Data[3B],Game_Data[Game #]=$A37,Game_Data[Player]=$D$1),"""")"),1.0)</f>
        <v>1</v>
      </c>
      <c r="M37" s="34">
        <f>IFERROR(__xludf.DUMMYFUNCTION("IFNA(FILTER(Game_Data[4B],Game_Data[Game #]=$A37,Game_Data[Player]=$D$1),"""")"),0.0)</f>
        <v>0</v>
      </c>
      <c r="N37" s="34">
        <f>IFERROR(__xludf.DUMMYFUNCTION("IFNA(FILTER(Game_Data[HR],Game_Data[Game #]=$A37,Game_Data[Player]=$D$1),"""")"),0.0)</f>
        <v>0</v>
      </c>
      <c r="O37" s="34">
        <f>IFERROR(__xludf.DUMMYFUNCTION("IFNA(FILTER(Game_Data[FC],Game_Data[Game #]=$A37,Game_Data[Player]=$D$1),"""")"),3.0)</f>
        <v>3</v>
      </c>
      <c r="P37" s="34">
        <f>IFERROR(__xludf.DUMMYFUNCTION("IFNA(FILTER(Game_Data[BB],Game_Data[Game #]=$A37,Game_Data[Player]=$D$1),"""")"),1.0)</f>
        <v>1</v>
      </c>
      <c r="Q37" s="34">
        <f>IFERROR(__xludf.DUMMYFUNCTION("IFNA(FILTER(Game_Data[SF],Game_Data[Game #]=$A37,Game_Data[Player]=$D$1),"""")"),0.0)</f>
        <v>0</v>
      </c>
      <c r="R37" s="34">
        <f>IFERROR(__xludf.DUMMYFUNCTION("IFNA(FILTER(Game_Data[K],Game_Data[Game #]=$A37,Game_Data[Player]=$D$1),"""")"),0.0)</f>
        <v>0</v>
      </c>
      <c r="S37" s="34">
        <f>IFERROR(__xludf.DUMMYFUNCTION("IFNA(FILTER(Game_Data[KF],Game_Data[Game #]=$A37,Game_Data[Player]=$D$1),"""")"),0.0)</f>
        <v>0</v>
      </c>
      <c r="T37" s="34">
        <f>IFERROR(__xludf.DUMMYFUNCTION("IFNA(FILTER(Game_Data[GO],Game_Data[Game #]=$A37,Game_Data[Player]=$D$1),"""")"),3.0)</f>
        <v>3</v>
      </c>
      <c r="U37" s="34">
        <f>IFERROR(__xludf.DUMMYFUNCTION("IFNA(FILTER(Game_Data[FO],Game_Data[Game #]=$A37,Game_Data[Player]=$D$1),"""")"),13.0)</f>
        <v>13</v>
      </c>
      <c r="V37" s="34">
        <f>IFERROR(__xludf.DUMMYFUNCTION("IFNA(FILTER(Game_Data[R],Game_Data[Game #]=$A37,Game_Data[Player]=$D$1),"""")"),13.0)</f>
        <v>13</v>
      </c>
      <c r="W37" s="34">
        <f>IFERROR(__xludf.DUMMYFUNCTION("IFNA(FILTER(Game_Data[RBI],Game_Data[Game #]=$A37,Game_Data[Player]=$D$1),"""")"),13.0)</f>
        <v>13</v>
      </c>
    </row>
    <row r="38" ht="22.5" customHeight="1">
      <c r="A38" s="35">
        <v>36.0</v>
      </c>
      <c r="B38" s="36" t="str">
        <f>IFNA(VLOOKUP($A38,Game_Data[],5,0),"")</f>
        <v>Coulas Bone Crushers</v>
      </c>
      <c r="C38" s="37">
        <f t="shared" si="1"/>
        <v>0.7826086957</v>
      </c>
      <c r="D38" s="37">
        <f t="shared" si="2"/>
        <v>0.7346938776</v>
      </c>
      <c r="E38" s="37">
        <f t="shared" si="3"/>
        <v>1.065217391</v>
      </c>
      <c r="F38" s="37">
        <f t="shared" si="4"/>
        <v>1.799911269</v>
      </c>
      <c r="G38" s="38">
        <f>IFERROR(__xludf.DUMMYFUNCTION("IFNA(FILTER(Game_Data[PA],Game_Data[Game #]=$A38,Game_Data[Player]=$D$1),"""")"),49.0)</f>
        <v>49</v>
      </c>
      <c r="H38" s="34">
        <f>IFERROR(__xludf.DUMMYFUNCTION("IFNA(FILTER(Game_Data[AB],Game_Data[Game #]=$A38,Game_Data[Player]=$D$1),"""")"),46.0)</f>
        <v>46</v>
      </c>
      <c r="I38" s="39">
        <f>IFERROR(__xludf.DUMMYFUNCTION("IFNA(FILTER(Game_Data[H],Game_Data[Game #]=$A38,Game_Data[Player]=$D$1),"""")"),36.0)</f>
        <v>36</v>
      </c>
      <c r="J38" s="34">
        <f>IFERROR(__xludf.DUMMYFUNCTION("IFNA(FILTER(Game_Data[1B],Game_Data[Game #]=$A38,Game_Data[Player]=$D$1),"""")"),26.0)</f>
        <v>26</v>
      </c>
      <c r="K38" s="34">
        <f>IFERROR(__xludf.DUMMYFUNCTION("IFNA(FILTER(Game_Data[2B],Game_Data[Game #]=$A38,Game_Data[Player]=$D$1),"""")"),8.0)</f>
        <v>8</v>
      </c>
      <c r="L38" s="34">
        <f>IFERROR(__xludf.DUMMYFUNCTION("IFNA(FILTER(Game_Data[3B],Game_Data[Game #]=$A38,Game_Data[Player]=$D$1),"""")"),1.0)</f>
        <v>1</v>
      </c>
      <c r="M38" s="34">
        <f>IFERROR(__xludf.DUMMYFUNCTION("IFNA(FILTER(Game_Data[4B],Game_Data[Game #]=$A38,Game_Data[Player]=$D$1),"""")"),0.0)</f>
        <v>0</v>
      </c>
      <c r="N38" s="34">
        <f>IFERROR(__xludf.DUMMYFUNCTION("IFNA(FILTER(Game_Data[HR],Game_Data[Game #]=$A38,Game_Data[Player]=$D$1),"""")"),1.0)</f>
        <v>1</v>
      </c>
      <c r="O38" s="34">
        <f>IFERROR(__xludf.DUMMYFUNCTION("IFNA(FILTER(Game_Data[FC],Game_Data[Game #]=$A38,Game_Data[Player]=$D$1),"""")"),3.0)</f>
        <v>3</v>
      </c>
      <c r="P38" s="34">
        <f>IFERROR(__xludf.DUMMYFUNCTION("IFNA(FILTER(Game_Data[BB],Game_Data[Game #]=$A38,Game_Data[Player]=$D$1),"""")"),0.0)</f>
        <v>0</v>
      </c>
      <c r="Q38" s="34">
        <f>IFERROR(__xludf.DUMMYFUNCTION("IFNA(FILTER(Game_Data[SF],Game_Data[Game #]=$A38,Game_Data[Player]=$D$1),"""")"),3.0)</f>
        <v>3</v>
      </c>
      <c r="R38" s="34">
        <f>IFERROR(__xludf.DUMMYFUNCTION("IFNA(FILTER(Game_Data[K],Game_Data[Game #]=$A38,Game_Data[Player]=$D$1),"""")"),1.0)</f>
        <v>1</v>
      </c>
      <c r="S38" s="34">
        <f>IFERROR(__xludf.DUMMYFUNCTION("IFNA(FILTER(Game_Data[KF],Game_Data[Game #]=$A38,Game_Data[Player]=$D$1),"""")"),0.0)</f>
        <v>0</v>
      </c>
      <c r="T38" s="34">
        <f>IFERROR(__xludf.DUMMYFUNCTION("IFNA(FILTER(Game_Data[GO],Game_Data[Game #]=$A38,Game_Data[Player]=$D$1),"""")"),1.0)</f>
        <v>1</v>
      </c>
      <c r="U38" s="34">
        <f>IFERROR(__xludf.DUMMYFUNCTION("IFNA(FILTER(Game_Data[FO],Game_Data[Game #]=$A38,Game_Data[Player]=$D$1),"""")"),5.0)</f>
        <v>5</v>
      </c>
      <c r="V38" s="34">
        <f>IFERROR(__xludf.DUMMYFUNCTION("IFNA(FILTER(Game_Data[R],Game_Data[Game #]=$A38,Game_Data[Player]=$D$1),"""")"),27.0)</f>
        <v>27</v>
      </c>
      <c r="W38" s="34">
        <f>IFERROR(__xludf.DUMMYFUNCTION("IFNA(FILTER(Game_Data[RBI],Game_Data[Game #]=$A38,Game_Data[Player]=$D$1),"""")"),27.0)</f>
        <v>27</v>
      </c>
    </row>
    <row r="39" ht="22.5" customHeight="1">
      <c r="A39" s="35">
        <v>37.0</v>
      </c>
      <c r="B39" s="36" t="str">
        <f>IFNA(VLOOKUP($A39,Game_Data[],5,0),"")</f>
        <v>Hanet Plastics</v>
      </c>
      <c r="C39" s="37">
        <f t="shared" si="1"/>
        <v>0.6</v>
      </c>
      <c r="D39" s="37">
        <f t="shared" si="2"/>
        <v>0.6</v>
      </c>
      <c r="E39" s="37">
        <f t="shared" si="3"/>
        <v>0.7</v>
      </c>
      <c r="F39" s="37">
        <f t="shared" si="4"/>
        <v>1.3</v>
      </c>
      <c r="G39" s="38">
        <f>IFERROR(__xludf.DUMMYFUNCTION("IFNA(FILTER(Game_Data[PA],Game_Data[Game #]=$A39,Game_Data[Player]=$D$1),"""")"),40.0)</f>
        <v>40</v>
      </c>
      <c r="H39" s="34">
        <f>IFERROR(__xludf.DUMMYFUNCTION("IFNA(FILTER(Game_Data[AB],Game_Data[Game #]=$A39,Game_Data[Player]=$D$1),"""")"),40.0)</f>
        <v>40</v>
      </c>
      <c r="I39" s="39">
        <f>IFERROR(__xludf.DUMMYFUNCTION("IFNA(FILTER(Game_Data[H],Game_Data[Game #]=$A39,Game_Data[Player]=$D$1),"""")"),24.0)</f>
        <v>24</v>
      </c>
      <c r="J39" s="34">
        <f>IFERROR(__xludf.DUMMYFUNCTION("IFNA(FILTER(Game_Data[1B],Game_Data[Game #]=$A39,Game_Data[Player]=$D$1),"""")"),20.0)</f>
        <v>20</v>
      </c>
      <c r="K39" s="34">
        <f>IFERROR(__xludf.DUMMYFUNCTION("IFNA(FILTER(Game_Data[2B],Game_Data[Game #]=$A39,Game_Data[Player]=$D$1),"""")"),4.0)</f>
        <v>4</v>
      </c>
      <c r="L39" s="34">
        <f>IFERROR(__xludf.DUMMYFUNCTION("IFNA(FILTER(Game_Data[3B],Game_Data[Game #]=$A39,Game_Data[Player]=$D$1),"""")"),0.0)</f>
        <v>0</v>
      </c>
      <c r="M39" s="34">
        <f>IFERROR(__xludf.DUMMYFUNCTION("IFNA(FILTER(Game_Data[4B],Game_Data[Game #]=$A39,Game_Data[Player]=$D$1),"""")"),0.0)</f>
        <v>0</v>
      </c>
      <c r="N39" s="34">
        <f>IFERROR(__xludf.DUMMYFUNCTION("IFNA(FILTER(Game_Data[HR],Game_Data[Game #]=$A39,Game_Data[Player]=$D$1),"""")"),0.0)</f>
        <v>0</v>
      </c>
      <c r="O39" s="34">
        <f>IFERROR(__xludf.DUMMYFUNCTION("IFNA(FILTER(Game_Data[FC],Game_Data[Game #]=$A39,Game_Data[Player]=$D$1),"""")"),1.0)</f>
        <v>1</v>
      </c>
      <c r="P39" s="34">
        <f>IFERROR(__xludf.DUMMYFUNCTION("IFNA(FILTER(Game_Data[BB],Game_Data[Game #]=$A39,Game_Data[Player]=$D$1),"""")"),0.0)</f>
        <v>0</v>
      </c>
      <c r="Q39" s="34">
        <f>IFERROR(__xludf.DUMMYFUNCTION("IFNA(FILTER(Game_Data[SF],Game_Data[Game #]=$A39,Game_Data[Player]=$D$1),"""")"),0.0)</f>
        <v>0</v>
      </c>
      <c r="R39" s="34">
        <f>IFERROR(__xludf.DUMMYFUNCTION("IFNA(FILTER(Game_Data[K],Game_Data[Game #]=$A39,Game_Data[Player]=$D$1),"""")"),0.0)</f>
        <v>0</v>
      </c>
      <c r="S39" s="34">
        <f>IFERROR(__xludf.DUMMYFUNCTION("IFNA(FILTER(Game_Data[KF],Game_Data[Game #]=$A39,Game_Data[Player]=$D$1),"""")"),2.0)</f>
        <v>2</v>
      </c>
      <c r="T39" s="34">
        <f>IFERROR(__xludf.DUMMYFUNCTION("IFNA(FILTER(Game_Data[GO],Game_Data[Game #]=$A39,Game_Data[Player]=$D$1),"""")"),1.0)</f>
        <v>1</v>
      </c>
      <c r="U39" s="34">
        <f>IFERROR(__xludf.DUMMYFUNCTION("IFNA(FILTER(Game_Data[FO],Game_Data[Game #]=$A39,Game_Data[Player]=$D$1),"""")"),12.0)</f>
        <v>12</v>
      </c>
      <c r="V39" s="34">
        <f>IFERROR(__xludf.DUMMYFUNCTION("IFNA(FILTER(Game_Data[R],Game_Data[Game #]=$A39,Game_Data[Player]=$D$1),"""")"),13.0)</f>
        <v>13</v>
      </c>
      <c r="W39" s="34">
        <f>IFERROR(__xludf.DUMMYFUNCTION("IFNA(FILTER(Game_Data[RBI],Game_Data[Game #]=$A39,Game_Data[Player]=$D$1),"""")"),13.0)</f>
        <v>13</v>
      </c>
    </row>
    <row r="40" ht="22.5" customHeight="1">
      <c r="A40" s="35">
        <v>38.0</v>
      </c>
      <c r="B40" s="36" t="str">
        <f>IFNA(VLOOKUP($A40,Game_Data[],5,0),"")</f>
        <v>Falcons</v>
      </c>
      <c r="C40" s="40">
        <f t="shared" si="1"/>
        <v>0.5142857143</v>
      </c>
      <c r="D40" s="40">
        <f t="shared" si="2"/>
        <v>0.5</v>
      </c>
      <c r="E40" s="40">
        <f t="shared" si="3"/>
        <v>0.6285714286</v>
      </c>
      <c r="F40" s="40">
        <f t="shared" si="4"/>
        <v>1.128571429</v>
      </c>
      <c r="G40" s="38">
        <f>IFERROR(__xludf.DUMMYFUNCTION("IFNA(FILTER(Game_Data[PA],Game_Data[Game #]=$A40,Game_Data[Player]=$D$1),"""")"),38.0)</f>
        <v>38</v>
      </c>
      <c r="H40" s="34">
        <f>IFERROR(__xludf.DUMMYFUNCTION("IFNA(FILTER(Game_Data[AB],Game_Data[Game #]=$A40,Game_Data[Player]=$D$1),"""")"),35.0)</f>
        <v>35</v>
      </c>
      <c r="I40" s="39">
        <f>IFERROR(__xludf.DUMMYFUNCTION("IFNA(FILTER(Game_Data[H],Game_Data[Game #]=$A40,Game_Data[Player]=$D$1),"""")"),18.0)</f>
        <v>18</v>
      </c>
      <c r="J40" s="34">
        <f>IFERROR(__xludf.DUMMYFUNCTION("IFNA(FILTER(Game_Data[1B],Game_Data[Game #]=$A40,Game_Data[Player]=$D$1),"""")"),16.0)</f>
        <v>16</v>
      </c>
      <c r="K40" s="34">
        <f>IFERROR(__xludf.DUMMYFUNCTION("IFNA(FILTER(Game_Data[2B],Game_Data[Game #]=$A40,Game_Data[Player]=$D$1),"""")"),1.0)</f>
        <v>1</v>
      </c>
      <c r="L40" s="34">
        <f>IFERROR(__xludf.DUMMYFUNCTION("IFNA(FILTER(Game_Data[3B],Game_Data[Game #]=$A40,Game_Data[Player]=$D$1),"""")"),0.0)</f>
        <v>0</v>
      </c>
      <c r="M40" s="34">
        <f>IFERROR(__xludf.DUMMYFUNCTION("IFNA(FILTER(Game_Data[4B],Game_Data[Game #]=$A40,Game_Data[Player]=$D$1),"""")"),0.0)</f>
        <v>0</v>
      </c>
      <c r="N40" s="34">
        <f>IFERROR(__xludf.DUMMYFUNCTION("IFNA(FILTER(Game_Data[HR],Game_Data[Game #]=$A40,Game_Data[Player]=$D$1),"""")"),1.0)</f>
        <v>1</v>
      </c>
      <c r="O40" s="34">
        <f>IFERROR(__xludf.DUMMYFUNCTION("IFNA(FILTER(Game_Data[FC],Game_Data[Game #]=$A40,Game_Data[Player]=$D$1),"""")"),2.0)</f>
        <v>2</v>
      </c>
      <c r="P40" s="34">
        <f>IFERROR(__xludf.DUMMYFUNCTION("IFNA(FILTER(Game_Data[BB],Game_Data[Game #]=$A40,Game_Data[Player]=$D$1),"""")"),1.0)</f>
        <v>1</v>
      </c>
      <c r="Q40" s="34">
        <f>IFERROR(__xludf.DUMMYFUNCTION("IFNA(FILTER(Game_Data[SF],Game_Data[Game #]=$A40,Game_Data[Player]=$D$1),"""")"),2.0)</f>
        <v>2</v>
      </c>
      <c r="R40" s="34">
        <f>IFERROR(__xludf.DUMMYFUNCTION("IFNA(FILTER(Game_Data[K],Game_Data[Game #]=$A40,Game_Data[Player]=$D$1),"""")"),0.0)</f>
        <v>0</v>
      </c>
      <c r="S40" s="34">
        <f>IFERROR(__xludf.DUMMYFUNCTION("IFNA(FILTER(Game_Data[KF],Game_Data[Game #]=$A40,Game_Data[Player]=$D$1),"""")"),0.0)</f>
        <v>0</v>
      </c>
      <c r="T40" s="34">
        <f>IFERROR(__xludf.DUMMYFUNCTION("IFNA(FILTER(Game_Data[GO],Game_Data[Game #]=$A40,Game_Data[Player]=$D$1),"""")"),3.0)</f>
        <v>3</v>
      </c>
      <c r="U40" s="34">
        <f>IFERROR(__xludf.DUMMYFUNCTION("IFNA(FILTER(Game_Data[FO],Game_Data[Game #]=$A40,Game_Data[Player]=$D$1),"""")"),12.0)</f>
        <v>12</v>
      </c>
      <c r="V40" s="34">
        <f>IFERROR(__xludf.DUMMYFUNCTION("IFNA(FILTER(Game_Data[R],Game_Data[Game #]=$A40,Game_Data[Player]=$D$1),"""")"),10.0)</f>
        <v>10</v>
      </c>
      <c r="W40" s="34">
        <f>IFERROR(__xludf.DUMMYFUNCTION("IFNA(FILTER(Game_Data[RBI],Game_Data[Game #]=$A40,Game_Data[Player]=$D$1),"""")"),10.0)</f>
        <v>10</v>
      </c>
    </row>
    <row r="41" ht="22.5" customHeight="1">
      <c r="A41" s="41"/>
      <c r="B41" s="42"/>
      <c r="C41" s="37">
        <f t="shared" si="1"/>
        <v>0.5715231788</v>
      </c>
      <c r="D41" s="37">
        <f t="shared" si="2"/>
        <v>0.5759803922</v>
      </c>
      <c r="E41" s="37">
        <f t="shared" si="3"/>
        <v>0.8158940397</v>
      </c>
      <c r="F41" s="37">
        <f t="shared" si="4"/>
        <v>1.391874432</v>
      </c>
      <c r="G41" s="43">
        <f>SUBTOTAL(9,Game_Stats[PA])</f>
        <v>1632</v>
      </c>
      <c r="H41" s="42">
        <f>SUBTOTAL(9,Game_Stats[AB])</f>
        <v>1510</v>
      </c>
      <c r="I41" s="44">
        <f>SUBTOTAL(9,Game_Stats[H])</f>
        <v>863</v>
      </c>
      <c r="J41" s="45">
        <f>SUBTOTAL(9,Game_Stats[1B])</f>
        <v>620</v>
      </c>
      <c r="K41" s="45">
        <f>SUBTOTAL(9,Game_Stats[2B])</f>
        <v>161</v>
      </c>
      <c r="L41" s="45">
        <f>SUBTOTAL(9,Game_Stats[3B])</f>
        <v>38</v>
      </c>
      <c r="M41" s="45">
        <f>SUBTOTAL(9,Game_Stats[4B])</f>
        <v>9</v>
      </c>
      <c r="N41" s="45">
        <f>SUBTOTAL(9,Game_Stats[HR])</f>
        <v>35</v>
      </c>
      <c r="O41" s="45">
        <f>SUBTOTAL(9,Game_Stats[FC])</f>
        <v>80</v>
      </c>
      <c r="P41" s="45">
        <f>SUBTOTAL(9,Game_Stats[BB])</f>
        <v>77</v>
      </c>
      <c r="Q41" s="45">
        <f>SUBTOTAL(9,Game_Stats[SF])</f>
        <v>45</v>
      </c>
      <c r="R41" s="45">
        <f>SUBTOTAL(9,Game_Stats[K])</f>
        <v>5</v>
      </c>
      <c r="S41" s="45">
        <f>SUBTOTAL(9,Game_Stats[KF])</f>
        <v>11</v>
      </c>
      <c r="T41" s="45">
        <f>SUBTOTAL(9,Game_Stats[GO])</f>
        <v>87</v>
      </c>
      <c r="U41" s="45">
        <f>SUBTOTAL(9,Game_Stats[FO])</f>
        <v>464</v>
      </c>
      <c r="V41" s="45">
        <f>SUBTOTAL(9,Game_Stats[R])</f>
        <v>576</v>
      </c>
      <c r="W41" s="45">
        <f>SUBTOTAL(9,Game_Stats[RBI])</f>
        <v>577</v>
      </c>
    </row>
    <row r="42">
      <c r="E42" s="46"/>
    </row>
    <row r="43">
      <c r="E43" s="46"/>
    </row>
    <row r="44">
      <c r="E44" s="46"/>
    </row>
    <row r="45">
      <c r="E45" s="46"/>
    </row>
    <row r="46">
      <c r="E46" s="46"/>
    </row>
    <row r="47">
      <c r="E47" s="46"/>
    </row>
    <row r="48">
      <c r="E48" s="46"/>
    </row>
    <row r="49">
      <c r="E49" s="46"/>
    </row>
    <row r="50">
      <c r="E50" s="46"/>
    </row>
    <row r="51">
      <c r="E51" s="46"/>
    </row>
    <row r="52">
      <c r="E52" s="46"/>
    </row>
    <row r="53">
      <c r="E53" s="46"/>
    </row>
    <row r="54">
      <c r="E54" s="46"/>
    </row>
    <row r="55">
      <c r="E55" s="46"/>
    </row>
    <row r="56">
      <c r="E56" s="46"/>
    </row>
    <row r="57">
      <c r="E57" s="46"/>
    </row>
    <row r="58">
      <c r="E58" s="46"/>
    </row>
    <row r="59">
      <c r="E59" s="46"/>
    </row>
    <row r="60">
      <c r="E60" s="46"/>
    </row>
    <row r="61">
      <c r="E61" s="46"/>
    </row>
    <row r="62">
      <c r="E62" s="46"/>
    </row>
    <row r="63">
      <c r="E63" s="46"/>
    </row>
    <row r="64">
      <c r="E64" s="46"/>
    </row>
    <row r="65">
      <c r="E65" s="46"/>
    </row>
    <row r="66">
      <c r="E66" s="46"/>
    </row>
    <row r="67">
      <c r="E67" s="46"/>
    </row>
    <row r="68">
      <c r="E68" s="46"/>
    </row>
    <row r="69">
      <c r="E69" s="46"/>
    </row>
    <row r="70">
      <c r="E70" s="46"/>
    </row>
    <row r="71">
      <c r="E71" s="46"/>
    </row>
    <row r="72">
      <c r="E72" s="46"/>
    </row>
    <row r="73">
      <c r="E73" s="46"/>
    </row>
    <row r="74">
      <c r="E74" s="46"/>
    </row>
    <row r="75">
      <c r="E75" s="46"/>
    </row>
    <row r="76">
      <c r="E76" s="46"/>
    </row>
    <row r="77">
      <c r="E77" s="46"/>
    </row>
    <row r="78">
      <c r="E78" s="46"/>
    </row>
    <row r="79">
      <c r="E79" s="46"/>
    </row>
    <row r="80">
      <c r="E80" s="46"/>
    </row>
    <row r="81">
      <c r="E81" s="46"/>
    </row>
    <row r="82">
      <c r="E82" s="46"/>
    </row>
    <row r="83">
      <c r="E83" s="46"/>
    </row>
    <row r="84">
      <c r="E84" s="46"/>
    </row>
    <row r="85">
      <c r="E85" s="46"/>
    </row>
    <row r="86">
      <c r="E86" s="46"/>
    </row>
    <row r="87">
      <c r="E87" s="46"/>
    </row>
    <row r="88">
      <c r="E88" s="46"/>
    </row>
    <row r="89">
      <c r="E89" s="46"/>
    </row>
    <row r="90">
      <c r="E90" s="46"/>
    </row>
    <row r="91">
      <c r="E91" s="46"/>
    </row>
    <row r="92">
      <c r="E92" s="46"/>
    </row>
    <row r="93">
      <c r="E93" s="46"/>
    </row>
    <row r="94">
      <c r="E94" s="46"/>
    </row>
    <row r="95">
      <c r="E95" s="46"/>
    </row>
    <row r="96">
      <c r="E96" s="46"/>
    </row>
    <row r="97">
      <c r="E97" s="46"/>
    </row>
    <row r="98">
      <c r="E98" s="46"/>
    </row>
    <row r="99">
      <c r="E99" s="46"/>
    </row>
    <row r="100">
      <c r="E100" s="46"/>
    </row>
    <row r="101">
      <c r="E101" s="46"/>
    </row>
    <row r="102">
      <c r="E102" s="46"/>
    </row>
    <row r="103">
      <c r="E103" s="46"/>
    </row>
    <row r="104">
      <c r="E104" s="46"/>
    </row>
    <row r="105">
      <c r="E105" s="46"/>
    </row>
    <row r="106">
      <c r="E106" s="46"/>
    </row>
    <row r="107">
      <c r="E107" s="46"/>
    </row>
    <row r="108">
      <c r="E108" s="46"/>
    </row>
    <row r="109">
      <c r="E109" s="46"/>
    </row>
    <row r="110">
      <c r="E110" s="46"/>
    </row>
    <row r="111">
      <c r="E111" s="46"/>
    </row>
    <row r="112">
      <c r="E112" s="46"/>
    </row>
    <row r="113">
      <c r="E113" s="46"/>
    </row>
    <row r="114">
      <c r="E114" s="46"/>
    </row>
    <row r="115">
      <c r="E115" s="46"/>
    </row>
    <row r="116">
      <c r="E116" s="46"/>
    </row>
    <row r="117">
      <c r="E117" s="46"/>
    </row>
    <row r="118">
      <c r="E118" s="46"/>
    </row>
    <row r="119">
      <c r="E119" s="46"/>
    </row>
    <row r="120">
      <c r="E120" s="46"/>
    </row>
    <row r="121">
      <c r="E121" s="46"/>
    </row>
    <row r="122">
      <c r="E122" s="46"/>
    </row>
    <row r="123">
      <c r="E123" s="46"/>
    </row>
    <row r="124">
      <c r="E124" s="46"/>
    </row>
    <row r="125">
      <c r="E125" s="46"/>
    </row>
    <row r="126">
      <c r="E126" s="46"/>
    </row>
    <row r="127">
      <c r="E127" s="46"/>
    </row>
    <row r="128">
      <c r="E128" s="46"/>
    </row>
    <row r="129">
      <c r="E129" s="46"/>
    </row>
    <row r="130">
      <c r="E130" s="46"/>
    </row>
    <row r="131">
      <c r="E131" s="46"/>
    </row>
    <row r="132">
      <c r="E132" s="46"/>
    </row>
    <row r="133">
      <c r="E133" s="46"/>
    </row>
    <row r="134">
      <c r="E134" s="46"/>
    </row>
    <row r="135">
      <c r="E135" s="46"/>
    </row>
    <row r="136">
      <c r="E136" s="46"/>
    </row>
    <row r="137">
      <c r="E137" s="46"/>
    </row>
    <row r="138">
      <c r="E138" s="46"/>
    </row>
    <row r="139">
      <c r="E139" s="46"/>
    </row>
    <row r="140">
      <c r="E140" s="46"/>
    </row>
    <row r="141">
      <c r="E141" s="46"/>
    </row>
    <row r="142">
      <c r="E142" s="46"/>
    </row>
    <row r="143">
      <c r="E143" s="46"/>
    </row>
    <row r="144">
      <c r="E144" s="46"/>
    </row>
    <row r="145">
      <c r="E145" s="46"/>
    </row>
    <row r="146">
      <c r="E146" s="46"/>
    </row>
    <row r="147">
      <c r="E147" s="46"/>
    </row>
    <row r="148">
      <c r="E148" s="46"/>
    </row>
    <row r="149">
      <c r="E149" s="46"/>
    </row>
    <row r="150">
      <c r="E150" s="46"/>
    </row>
    <row r="151">
      <c r="E151" s="46"/>
    </row>
    <row r="152">
      <c r="E152" s="46"/>
    </row>
    <row r="153">
      <c r="E153" s="46"/>
    </row>
    <row r="154">
      <c r="E154" s="46"/>
    </row>
    <row r="155">
      <c r="E155" s="46"/>
    </row>
    <row r="156">
      <c r="E156" s="46"/>
    </row>
    <row r="157">
      <c r="E157" s="46"/>
    </row>
    <row r="158">
      <c r="E158" s="46"/>
    </row>
    <row r="159">
      <c r="E159" s="46"/>
    </row>
    <row r="160">
      <c r="E160" s="46"/>
    </row>
    <row r="161">
      <c r="E161" s="46"/>
    </row>
    <row r="162">
      <c r="E162" s="46"/>
    </row>
    <row r="163">
      <c r="E163" s="46"/>
    </row>
    <row r="164">
      <c r="E164" s="46"/>
    </row>
    <row r="165">
      <c r="E165" s="46"/>
    </row>
    <row r="166">
      <c r="E166" s="46"/>
    </row>
    <row r="167">
      <c r="E167" s="46"/>
    </row>
    <row r="168">
      <c r="E168" s="46"/>
    </row>
    <row r="169">
      <c r="E169" s="46"/>
    </row>
    <row r="170">
      <c r="E170" s="46"/>
    </row>
    <row r="171">
      <c r="E171" s="46"/>
    </row>
    <row r="172">
      <c r="E172" s="46"/>
    </row>
    <row r="173">
      <c r="E173" s="46"/>
    </row>
    <row r="174">
      <c r="E174" s="46"/>
    </row>
    <row r="175">
      <c r="E175" s="46"/>
    </row>
    <row r="176">
      <c r="E176" s="46"/>
    </row>
    <row r="177">
      <c r="E177" s="46"/>
    </row>
    <row r="178">
      <c r="E178" s="46"/>
    </row>
    <row r="179">
      <c r="E179" s="46"/>
    </row>
    <row r="180">
      <c r="E180" s="46"/>
    </row>
    <row r="181">
      <c r="E181" s="46"/>
    </row>
    <row r="182">
      <c r="E182" s="46"/>
    </row>
    <row r="183">
      <c r="E183" s="46"/>
    </row>
    <row r="184">
      <c r="E184" s="46"/>
    </row>
    <row r="185">
      <c r="E185" s="46"/>
    </row>
    <row r="186">
      <c r="E186" s="46"/>
    </row>
    <row r="187">
      <c r="E187" s="46"/>
    </row>
    <row r="188">
      <c r="E188" s="46"/>
    </row>
    <row r="189">
      <c r="E189" s="46"/>
    </row>
    <row r="190">
      <c r="E190" s="46"/>
    </row>
    <row r="191">
      <c r="E191" s="46"/>
    </row>
    <row r="192">
      <c r="E192" s="46"/>
    </row>
    <row r="193">
      <c r="E193" s="46"/>
    </row>
    <row r="194">
      <c r="E194" s="46"/>
    </row>
    <row r="195">
      <c r="E195" s="46"/>
    </row>
    <row r="196">
      <c r="E196" s="46"/>
    </row>
    <row r="197">
      <c r="E197" s="46"/>
    </row>
    <row r="198">
      <c r="E198" s="46"/>
    </row>
    <row r="199">
      <c r="E199" s="46"/>
    </row>
    <row r="200">
      <c r="E200" s="46"/>
    </row>
    <row r="201">
      <c r="E201" s="46"/>
    </row>
    <row r="202">
      <c r="E202" s="46"/>
    </row>
    <row r="203">
      <c r="E203" s="46"/>
    </row>
    <row r="204">
      <c r="E204" s="46"/>
    </row>
    <row r="205">
      <c r="E205" s="46"/>
    </row>
    <row r="206">
      <c r="E206" s="46"/>
    </row>
    <row r="207">
      <c r="E207" s="46"/>
    </row>
    <row r="208">
      <c r="E208" s="46"/>
    </row>
    <row r="209">
      <c r="E209" s="46"/>
    </row>
    <row r="210">
      <c r="E210" s="46"/>
    </row>
    <row r="211">
      <c r="E211" s="46"/>
    </row>
    <row r="212">
      <c r="E212" s="46"/>
    </row>
    <row r="213">
      <c r="E213" s="46"/>
    </row>
    <row r="214">
      <c r="E214" s="46"/>
    </row>
    <row r="215">
      <c r="E215" s="46"/>
    </row>
    <row r="216">
      <c r="E216" s="46"/>
    </row>
    <row r="217">
      <c r="E217" s="46"/>
    </row>
    <row r="218">
      <c r="E218" s="46"/>
    </row>
    <row r="219">
      <c r="E219" s="46"/>
    </row>
    <row r="220">
      <c r="E220" s="46"/>
    </row>
    <row r="221">
      <c r="E221" s="46"/>
    </row>
    <row r="222">
      <c r="E222" s="46"/>
    </row>
    <row r="223">
      <c r="E223" s="46"/>
    </row>
    <row r="224">
      <c r="E224" s="46"/>
    </row>
    <row r="225">
      <c r="E225" s="46"/>
    </row>
    <row r="226">
      <c r="E226" s="46"/>
    </row>
    <row r="227">
      <c r="E227" s="46"/>
    </row>
    <row r="228">
      <c r="E228" s="46"/>
    </row>
    <row r="229">
      <c r="E229" s="46"/>
    </row>
    <row r="230">
      <c r="E230" s="46"/>
    </row>
    <row r="231">
      <c r="E231" s="46"/>
    </row>
    <row r="232">
      <c r="E232" s="46"/>
    </row>
    <row r="233">
      <c r="E233" s="46"/>
    </row>
    <row r="234">
      <c r="E234" s="46"/>
    </row>
    <row r="235">
      <c r="E235" s="46"/>
    </row>
    <row r="236">
      <c r="E236" s="46"/>
    </row>
    <row r="237">
      <c r="E237" s="46"/>
    </row>
    <row r="238">
      <c r="E238" s="46"/>
    </row>
    <row r="239">
      <c r="E239" s="46"/>
    </row>
    <row r="240">
      <c r="E240" s="46"/>
    </row>
    <row r="241">
      <c r="E241" s="46"/>
    </row>
    <row r="242">
      <c r="E242" s="46"/>
    </row>
    <row r="243">
      <c r="E243" s="46"/>
    </row>
    <row r="244">
      <c r="E244" s="46"/>
    </row>
    <row r="245">
      <c r="E245" s="46"/>
    </row>
    <row r="246">
      <c r="E246" s="46"/>
    </row>
    <row r="247">
      <c r="E247" s="46"/>
    </row>
    <row r="248">
      <c r="E248" s="46"/>
    </row>
    <row r="249">
      <c r="E249" s="46"/>
    </row>
    <row r="250">
      <c r="E250" s="46"/>
    </row>
    <row r="251">
      <c r="E251" s="46"/>
    </row>
    <row r="252">
      <c r="E252" s="46"/>
    </row>
    <row r="253">
      <c r="E253" s="46"/>
    </row>
    <row r="254">
      <c r="E254" s="46"/>
    </row>
    <row r="255">
      <c r="E255" s="46"/>
    </row>
    <row r="256">
      <c r="E256" s="46"/>
    </row>
    <row r="257">
      <c r="E257" s="46"/>
    </row>
    <row r="258">
      <c r="E258" s="46"/>
    </row>
    <row r="259">
      <c r="E259" s="46"/>
    </row>
    <row r="260">
      <c r="E260" s="46"/>
    </row>
    <row r="261">
      <c r="E261" s="46"/>
    </row>
    <row r="262">
      <c r="E262" s="46"/>
    </row>
    <row r="263">
      <c r="E263" s="46"/>
    </row>
    <row r="264">
      <c r="E264" s="46"/>
    </row>
    <row r="265">
      <c r="E265" s="46"/>
    </row>
    <row r="266">
      <c r="E266" s="46"/>
    </row>
    <row r="267">
      <c r="E267" s="46"/>
    </row>
    <row r="268">
      <c r="E268" s="46"/>
    </row>
    <row r="269">
      <c r="E269" s="46"/>
    </row>
    <row r="270">
      <c r="E270" s="46"/>
    </row>
    <row r="271">
      <c r="E271" s="46"/>
    </row>
    <row r="272">
      <c r="E272" s="46"/>
    </row>
    <row r="273">
      <c r="E273" s="46"/>
    </row>
    <row r="274">
      <c r="E274" s="46"/>
    </row>
    <row r="275">
      <c r="E275" s="46"/>
    </row>
    <row r="276">
      <c r="E276" s="46"/>
    </row>
    <row r="277">
      <c r="E277" s="46"/>
    </row>
    <row r="278">
      <c r="E278" s="46"/>
    </row>
    <row r="279">
      <c r="E279" s="46"/>
    </row>
    <row r="280">
      <c r="E280" s="46"/>
    </row>
    <row r="281">
      <c r="E281" s="46"/>
    </row>
    <row r="282">
      <c r="E282" s="46"/>
    </row>
    <row r="283">
      <c r="E283" s="46"/>
    </row>
    <row r="284">
      <c r="E284" s="46"/>
    </row>
    <row r="285">
      <c r="E285" s="46"/>
    </row>
    <row r="286">
      <c r="E286" s="46"/>
    </row>
    <row r="287">
      <c r="E287" s="46"/>
    </row>
    <row r="288">
      <c r="E288" s="46"/>
    </row>
    <row r="289">
      <c r="E289" s="46"/>
    </row>
    <row r="290">
      <c r="E290" s="46"/>
    </row>
    <row r="291">
      <c r="E291" s="46"/>
    </row>
    <row r="292">
      <c r="E292" s="46"/>
    </row>
    <row r="293">
      <c r="E293" s="46"/>
    </row>
    <row r="294">
      <c r="E294" s="46"/>
    </row>
    <row r="295">
      <c r="E295" s="46"/>
    </row>
    <row r="296">
      <c r="E296" s="46"/>
    </row>
    <row r="297">
      <c r="E297" s="46"/>
    </row>
    <row r="298">
      <c r="E298" s="46"/>
    </row>
    <row r="299">
      <c r="E299" s="46"/>
    </row>
    <row r="300">
      <c r="E300" s="46"/>
    </row>
    <row r="301">
      <c r="E301" s="46"/>
    </row>
    <row r="302">
      <c r="E302" s="46"/>
    </row>
    <row r="303">
      <c r="E303" s="46"/>
    </row>
    <row r="304">
      <c r="E304" s="46"/>
    </row>
    <row r="305">
      <c r="E305" s="46"/>
    </row>
    <row r="306">
      <c r="E306" s="46"/>
    </row>
    <row r="307">
      <c r="E307" s="46"/>
    </row>
    <row r="308">
      <c r="E308" s="46"/>
    </row>
    <row r="309">
      <c r="E309" s="46"/>
    </row>
    <row r="310">
      <c r="E310" s="46"/>
    </row>
    <row r="311">
      <c r="E311" s="46"/>
    </row>
    <row r="312">
      <c r="E312" s="46"/>
    </row>
    <row r="313">
      <c r="E313" s="46"/>
    </row>
    <row r="314">
      <c r="E314" s="46"/>
    </row>
    <row r="315">
      <c r="E315" s="46"/>
    </row>
    <row r="316">
      <c r="E316" s="46"/>
    </row>
    <row r="317">
      <c r="E317" s="46"/>
    </row>
    <row r="318">
      <c r="E318" s="46"/>
    </row>
    <row r="319">
      <c r="E319" s="46"/>
    </row>
    <row r="320">
      <c r="E320" s="46"/>
    </row>
    <row r="321">
      <c r="E321" s="46"/>
    </row>
    <row r="322">
      <c r="E322" s="46"/>
    </row>
    <row r="323">
      <c r="E323" s="46"/>
    </row>
    <row r="324">
      <c r="E324" s="46"/>
    </row>
    <row r="325">
      <c r="E325" s="46"/>
    </row>
    <row r="326">
      <c r="E326" s="46"/>
    </row>
    <row r="327">
      <c r="E327" s="46"/>
    </row>
    <row r="328">
      <c r="E328" s="46"/>
    </row>
    <row r="329">
      <c r="E329" s="46"/>
    </row>
    <row r="330">
      <c r="E330" s="46"/>
    </row>
    <row r="331">
      <c r="E331" s="46"/>
    </row>
    <row r="332">
      <c r="E332" s="46"/>
    </row>
    <row r="333">
      <c r="E333" s="46"/>
    </row>
    <row r="334">
      <c r="E334" s="46"/>
    </row>
    <row r="335">
      <c r="E335" s="46"/>
    </row>
    <row r="336">
      <c r="E336" s="46"/>
    </row>
    <row r="337">
      <c r="E337" s="46"/>
    </row>
    <row r="338">
      <c r="E338" s="46"/>
    </row>
    <row r="339">
      <c r="E339" s="46"/>
    </row>
    <row r="340">
      <c r="E340" s="46"/>
    </row>
    <row r="341">
      <c r="E341" s="46"/>
    </row>
    <row r="342">
      <c r="E342" s="46"/>
    </row>
    <row r="343">
      <c r="E343" s="46"/>
    </row>
    <row r="344">
      <c r="E344" s="46"/>
    </row>
    <row r="345">
      <c r="E345" s="46"/>
    </row>
    <row r="346">
      <c r="E346" s="46"/>
    </row>
    <row r="347">
      <c r="E347" s="46"/>
    </row>
    <row r="348">
      <c r="E348" s="46"/>
    </row>
    <row r="349">
      <c r="E349" s="46"/>
    </row>
    <row r="350">
      <c r="E350" s="46"/>
    </row>
    <row r="351">
      <c r="E351" s="46"/>
    </row>
    <row r="352">
      <c r="E352" s="46"/>
    </row>
    <row r="353">
      <c r="E353" s="46"/>
    </row>
    <row r="354">
      <c r="E354" s="46"/>
    </row>
    <row r="355">
      <c r="E355" s="46"/>
    </row>
    <row r="356">
      <c r="E356" s="46"/>
    </row>
    <row r="357">
      <c r="E357" s="46"/>
    </row>
    <row r="358">
      <c r="E358" s="46"/>
    </row>
    <row r="359">
      <c r="E359" s="46"/>
    </row>
    <row r="360">
      <c r="E360" s="46"/>
    </row>
    <row r="361">
      <c r="E361" s="46"/>
    </row>
    <row r="362">
      <c r="E362" s="46"/>
    </row>
    <row r="363">
      <c r="E363" s="46"/>
    </row>
    <row r="364">
      <c r="E364" s="46"/>
    </row>
    <row r="365">
      <c r="E365" s="46"/>
    </row>
    <row r="366">
      <c r="E366" s="46"/>
    </row>
    <row r="367">
      <c r="E367" s="46"/>
    </row>
    <row r="368">
      <c r="E368" s="46"/>
    </row>
    <row r="369">
      <c r="E369" s="46"/>
    </row>
    <row r="370">
      <c r="E370" s="46"/>
    </row>
    <row r="371">
      <c r="E371" s="46"/>
    </row>
    <row r="372">
      <c r="E372" s="46"/>
    </row>
    <row r="373">
      <c r="E373" s="46"/>
    </row>
    <row r="374">
      <c r="E374" s="46"/>
    </row>
    <row r="375">
      <c r="E375" s="46"/>
    </row>
    <row r="376">
      <c r="E376" s="46"/>
    </row>
    <row r="377">
      <c r="E377" s="46"/>
    </row>
    <row r="378">
      <c r="E378" s="46"/>
    </row>
    <row r="379">
      <c r="E379" s="46"/>
    </row>
    <row r="380">
      <c r="E380" s="46"/>
    </row>
    <row r="381">
      <c r="E381" s="46"/>
    </row>
    <row r="382">
      <c r="E382" s="46"/>
    </row>
    <row r="383">
      <c r="E383" s="46"/>
    </row>
    <row r="384">
      <c r="E384" s="46"/>
    </row>
    <row r="385">
      <c r="E385" s="46"/>
    </row>
    <row r="386">
      <c r="E386" s="46"/>
    </row>
    <row r="387">
      <c r="E387" s="46"/>
    </row>
    <row r="388">
      <c r="E388" s="46"/>
    </row>
    <row r="389">
      <c r="E389" s="46"/>
    </row>
    <row r="390">
      <c r="E390" s="46"/>
    </row>
    <row r="391">
      <c r="E391" s="46"/>
    </row>
    <row r="392">
      <c r="E392" s="46"/>
    </row>
    <row r="393">
      <c r="E393" s="46"/>
    </row>
    <row r="394">
      <c r="E394" s="46"/>
    </row>
    <row r="395">
      <c r="E395" s="46"/>
    </row>
    <row r="396">
      <c r="E396" s="46"/>
    </row>
    <row r="397">
      <c r="E397" s="46"/>
    </row>
    <row r="398">
      <c r="E398" s="46"/>
    </row>
    <row r="399">
      <c r="E399" s="46"/>
    </row>
    <row r="400">
      <c r="E400" s="46"/>
    </row>
    <row r="401">
      <c r="E401" s="46"/>
    </row>
    <row r="402">
      <c r="E402" s="46"/>
    </row>
    <row r="403">
      <c r="E403" s="46"/>
    </row>
    <row r="404">
      <c r="E404" s="46"/>
    </row>
    <row r="405">
      <c r="E405" s="46"/>
    </row>
    <row r="406">
      <c r="E406" s="46"/>
    </row>
    <row r="407">
      <c r="E407" s="46"/>
    </row>
    <row r="408">
      <c r="E408" s="46"/>
    </row>
    <row r="409">
      <c r="E409" s="46"/>
    </row>
    <row r="410">
      <c r="E410" s="46"/>
    </row>
    <row r="411">
      <c r="E411" s="46"/>
    </row>
    <row r="412">
      <c r="E412" s="46"/>
    </row>
    <row r="413">
      <c r="E413" s="46"/>
    </row>
    <row r="414">
      <c r="E414" s="46"/>
    </row>
    <row r="415">
      <c r="E415" s="46"/>
    </row>
    <row r="416">
      <c r="E416" s="46"/>
    </row>
    <row r="417">
      <c r="E417" s="46"/>
    </row>
    <row r="418">
      <c r="E418" s="46"/>
    </row>
    <row r="419">
      <c r="E419" s="46"/>
    </row>
    <row r="420">
      <c r="E420" s="46"/>
    </row>
    <row r="421">
      <c r="E421" s="46"/>
    </row>
    <row r="422">
      <c r="E422" s="46"/>
    </row>
    <row r="423">
      <c r="E423" s="46"/>
    </row>
    <row r="424">
      <c r="E424" s="46"/>
    </row>
    <row r="425">
      <c r="E425" s="46"/>
    </row>
    <row r="426">
      <c r="E426" s="46"/>
    </row>
    <row r="427">
      <c r="E427" s="46"/>
    </row>
    <row r="428">
      <c r="E428" s="46"/>
    </row>
    <row r="429">
      <c r="E429" s="46"/>
    </row>
    <row r="430">
      <c r="E430" s="46"/>
    </row>
    <row r="431">
      <c r="E431" s="46"/>
    </row>
    <row r="432">
      <c r="E432" s="46"/>
    </row>
    <row r="433">
      <c r="E433" s="46"/>
    </row>
    <row r="434">
      <c r="E434" s="46"/>
    </row>
    <row r="435">
      <c r="E435" s="46"/>
    </row>
    <row r="436">
      <c r="E436" s="46"/>
    </row>
    <row r="437">
      <c r="E437" s="46"/>
    </row>
    <row r="438">
      <c r="E438" s="46"/>
    </row>
    <row r="439">
      <c r="E439" s="46"/>
    </row>
    <row r="440">
      <c r="E440" s="46"/>
    </row>
    <row r="441">
      <c r="E441" s="46"/>
    </row>
    <row r="442">
      <c r="E442" s="46"/>
    </row>
    <row r="443">
      <c r="E443" s="46"/>
    </row>
    <row r="444">
      <c r="E444" s="46"/>
    </row>
    <row r="445">
      <c r="E445" s="46"/>
    </row>
    <row r="446">
      <c r="E446" s="46"/>
    </row>
    <row r="447">
      <c r="E447" s="46"/>
    </row>
    <row r="448">
      <c r="E448" s="46"/>
    </row>
    <row r="449">
      <c r="E449" s="46"/>
    </row>
    <row r="450">
      <c r="E450" s="46"/>
    </row>
    <row r="451">
      <c r="E451" s="46"/>
    </row>
    <row r="452">
      <c r="E452" s="46"/>
    </row>
    <row r="453">
      <c r="E453" s="46"/>
    </row>
    <row r="454">
      <c r="E454" s="46"/>
    </row>
    <row r="455">
      <c r="E455" s="46"/>
    </row>
    <row r="456">
      <c r="E456" s="46"/>
    </row>
    <row r="457">
      <c r="E457" s="46"/>
    </row>
    <row r="458">
      <c r="E458" s="46"/>
    </row>
    <row r="459">
      <c r="E459" s="46"/>
    </row>
    <row r="460">
      <c r="E460" s="46"/>
    </row>
    <row r="461">
      <c r="E461" s="46"/>
    </row>
    <row r="462">
      <c r="E462" s="46"/>
    </row>
    <row r="463">
      <c r="E463" s="46"/>
    </row>
    <row r="464">
      <c r="E464" s="46"/>
    </row>
    <row r="465">
      <c r="E465" s="46"/>
    </row>
    <row r="466">
      <c r="E466" s="46"/>
    </row>
    <row r="467">
      <c r="E467" s="46"/>
    </row>
    <row r="468">
      <c r="E468" s="46"/>
    </row>
    <row r="469">
      <c r="E469" s="46"/>
    </row>
    <row r="470">
      <c r="E470" s="46"/>
    </row>
    <row r="471">
      <c r="E471" s="46"/>
    </row>
    <row r="472">
      <c r="E472" s="46"/>
    </row>
    <row r="473">
      <c r="E473" s="46"/>
    </row>
    <row r="474">
      <c r="E474" s="46"/>
    </row>
    <row r="475">
      <c r="E475" s="46"/>
    </row>
    <row r="476">
      <c r="E476" s="46"/>
    </row>
    <row r="477">
      <c r="E477" s="46"/>
    </row>
    <row r="478">
      <c r="E478" s="46"/>
    </row>
    <row r="479">
      <c r="E479" s="46"/>
    </row>
    <row r="480">
      <c r="E480" s="46"/>
    </row>
    <row r="481">
      <c r="E481" s="46"/>
    </row>
    <row r="482">
      <c r="E482" s="46"/>
    </row>
    <row r="483">
      <c r="E483" s="46"/>
    </row>
    <row r="484">
      <c r="E484" s="46"/>
    </row>
    <row r="485">
      <c r="E485" s="46"/>
    </row>
    <row r="486">
      <c r="E486" s="46"/>
    </row>
    <row r="487">
      <c r="E487" s="46"/>
    </row>
    <row r="488">
      <c r="E488" s="46"/>
    </row>
    <row r="489">
      <c r="E489" s="46"/>
    </row>
    <row r="490">
      <c r="E490" s="46"/>
    </row>
    <row r="491">
      <c r="E491" s="46"/>
    </row>
    <row r="492">
      <c r="E492" s="46"/>
    </row>
    <row r="493">
      <c r="E493" s="46"/>
    </row>
    <row r="494">
      <c r="E494" s="46"/>
    </row>
    <row r="495">
      <c r="E495" s="46"/>
    </row>
    <row r="496">
      <c r="E496" s="46"/>
    </row>
    <row r="497">
      <c r="E497" s="46"/>
    </row>
    <row r="498">
      <c r="E498" s="46"/>
    </row>
    <row r="499">
      <c r="E499" s="46"/>
    </row>
    <row r="500">
      <c r="E500" s="46"/>
    </row>
    <row r="501">
      <c r="E501" s="46"/>
    </row>
    <row r="502">
      <c r="E502" s="46"/>
    </row>
    <row r="503">
      <c r="E503" s="46"/>
    </row>
    <row r="504">
      <c r="E504" s="46"/>
    </row>
    <row r="505">
      <c r="E505" s="46"/>
    </row>
    <row r="506">
      <c r="E506" s="46"/>
    </row>
    <row r="507">
      <c r="E507" s="46"/>
    </row>
    <row r="508">
      <c r="E508" s="46"/>
    </row>
    <row r="509">
      <c r="E509" s="46"/>
    </row>
    <row r="510">
      <c r="E510" s="46"/>
    </row>
    <row r="511">
      <c r="E511" s="46"/>
    </row>
    <row r="512">
      <c r="E512" s="46"/>
    </row>
    <row r="513">
      <c r="E513" s="46"/>
    </row>
    <row r="514">
      <c r="E514" s="46"/>
    </row>
    <row r="515">
      <c r="E515" s="46"/>
    </row>
    <row r="516">
      <c r="E516" s="46"/>
    </row>
    <row r="517">
      <c r="E517" s="46"/>
    </row>
    <row r="518">
      <c r="E518" s="46"/>
    </row>
    <row r="519">
      <c r="E519" s="46"/>
    </row>
    <row r="520">
      <c r="E520" s="46"/>
    </row>
    <row r="521">
      <c r="E521" s="46"/>
    </row>
    <row r="522">
      <c r="E522" s="46"/>
    </row>
    <row r="523">
      <c r="E523" s="46"/>
    </row>
    <row r="524">
      <c r="E524" s="46"/>
    </row>
    <row r="525">
      <c r="E525" s="46"/>
    </row>
    <row r="526">
      <c r="E526" s="46"/>
    </row>
    <row r="527">
      <c r="E527" s="46"/>
    </row>
    <row r="528">
      <c r="E528" s="46"/>
    </row>
    <row r="529">
      <c r="E529" s="46"/>
    </row>
    <row r="530">
      <c r="E530" s="46"/>
    </row>
    <row r="531">
      <c r="E531" s="46"/>
    </row>
    <row r="532">
      <c r="E532" s="46"/>
    </row>
    <row r="533">
      <c r="E533" s="46"/>
    </row>
    <row r="534">
      <c r="E534" s="46"/>
    </row>
    <row r="535">
      <c r="E535" s="46"/>
    </row>
    <row r="536">
      <c r="E536" s="46"/>
    </row>
    <row r="537">
      <c r="E537" s="46"/>
    </row>
    <row r="538">
      <c r="E538" s="46"/>
    </row>
    <row r="539">
      <c r="E539" s="46"/>
    </row>
    <row r="540">
      <c r="E540" s="46"/>
    </row>
    <row r="541">
      <c r="E541" s="46"/>
    </row>
    <row r="542">
      <c r="E542" s="46"/>
    </row>
    <row r="543">
      <c r="E543" s="46"/>
    </row>
    <row r="544">
      <c r="E544" s="46"/>
    </row>
    <row r="545">
      <c r="E545" s="46"/>
    </row>
    <row r="546">
      <c r="E546" s="46"/>
    </row>
    <row r="547">
      <c r="E547" s="46"/>
    </row>
    <row r="548">
      <c r="E548" s="46"/>
    </row>
    <row r="549">
      <c r="E549" s="46"/>
    </row>
    <row r="550">
      <c r="E550" s="46"/>
    </row>
    <row r="551">
      <c r="E551" s="46"/>
    </row>
    <row r="552">
      <c r="E552" s="46"/>
    </row>
    <row r="553">
      <c r="E553" s="46"/>
    </row>
    <row r="554">
      <c r="E554" s="46"/>
    </row>
    <row r="555">
      <c r="E555" s="46"/>
    </row>
    <row r="556">
      <c r="E556" s="46"/>
    </row>
    <row r="557">
      <c r="E557" s="46"/>
    </row>
    <row r="558">
      <c r="E558" s="46"/>
    </row>
    <row r="559">
      <c r="E559" s="46"/>
    </row>
    <row r="560">
      <c r="E560" s="46"/>
    </row>
    <row r="561">
      <c r="E561" s="46"/>
    </row>
    <row r="562">
      <c r="E562" s="46"/>
    </row>
    <row r="563">
      <c r="E563" s="46"/>
    </row>
    <row r="564">
      <c r="E564" s="46"/>
    </row>
    <row r="565">
      <c r="E565" s="46"/>
    </row>
    <row r="566">
      <c r="E566" s="46"/>
    </row>
    <row r="567">
      <c r="E567" s="46"/>
    </row>
    <row r="568">
      <c r="E568" s="46"/>
    </row>
    <row r="569">
      <c r="E569" s="46"/>
    </row>
    <row r="570">
      <c r="E570" s="46"/>
    </row>
    <row r="571">
      <c r="E571" s="46"/>
    </row>
    <row r="572">
      <c r="E572" s="46"/>
    </row>
    <row r="573">
      <c r="E573" s="46"/>
    </row>
    <row r="574">
      <c r="E574" s="46"/>
    </row>
    <row r="575">
      <c r="E575" s="46"/>
    </row>
    <row r="576">
      <c r="E576" s="46"/>
    </row>
    <row r="577">
      <c r="E577" s="46"/>
    </row>
    <row r="578">
      <c r="E578" s="46"/>
    </row>
    <row r="579">
      <c r="E579" s="46"/>
    </row>
    <row r="580">
      <c r="E580" s="46"/>
    </row>
    <row r="581">
      <c r="E581" s="46"/>
    </row>
    <row r="582">
      <c r="E582" s="46"/>
    </row>
    <row r="583">
      <c r="E583" s="46"/>
    </row>
    <row r="584">
      <c r="E584" s="46"/>
    </row>
    <row r="585">
      <c r="E585" s="46"/>
    </row>
    <row r="586">
      <c r="E586" s="46"/>
    </row>
    <row r="587">
      <c r="E587" s="46"/>
    </row>
    <row r="588">
      <c r="E588" s="46"/>
    </row>
    <row r="589">
      <c r="E589" s="46"/>
    </row>
    <row r="590">
      <c r="E590" s="46"/>
    </row>
    <row r="591">
      <c r="E591" s="46"/>
    </row>
    <row r="592">
      <c r="E592" s="46"/>
    </row>
    <row r="593">
      <c r="E593" s="46"/>
    </row>
    <row r="594">
      <c r="E594" s="46"/>
    </row>
    <row r="595">
      <c r="E595" s="46"/>
    </row>
    <row r="596">
      <c r="E596" s="46"/>
    </row>
    <row r="597">
      <c r="E597" s="46"/>
    </row>
    <row r="598">
      <c r="E598" s="46"/>
    </row>
    <row r="599">
      <c r="E599" s="46"/>
    </row>
    <row r="600">
      <c r="E600" s="46"/>
    </row>
    <row r="601">
      <c r="E601" s="46"/>
    </row>
    <row r="602">
      <c r="E602" s="46"/>
    </row>
    <row r="603">
      <c r="E603" s="46"/>
    </row>
    <row r="604">
      <c r="E604" s="46"/>
    </row>
    <row r="605">
      <c r="E605" s="46"/>
    </row>
    <row r="606">
      <c r="E606" s="46"/>
    </row>
    <row r="607">
      <c r="E607" s="46"/>
    </row>
    <row r="608">
      <c r="E608" s="46"/>
    </row>
    <row r="609">
      <c r="E609" s="46"/>
    </row>
    <row r="610">
      <c r="E610" s="46"/>
    </row>
    <row r="611">
      <c r="E611" s="46"/>
    </row>
    <row r="612">
      <c r="E612" s="46"/>
    </row>
    <row r="613">
      <c r="E613" s="46"/>
    </row>
    <row r="614">
      <c r="E614" s="46"/>
    </row>
    <row r="615">
      <c r="E615" s="46"/>
    </row>
    <row r="616">
      <c r="E616" s="46"/>
    </row>
    <row r="617">
      <c r="E617" s="46"/>
    </row>
    <row r="618">
      <c r="E618" s="46"/>
    </row>
    <row r="619">
      <c r="E619" s="46"/>
    </row>
    <row r="620">
      <c r="E620" s="46"/>
    </row>
    <row r="621">
      <c r="E621" s="46"/>
    </row>
    <row r="622">
      <c r="E622" s="46"/>
    </row>
    <row r="623">
      <c r="E623" s="46"/>
    </row>
    <row r="624">
      <c r="E624" s="46"/>
    </row>
    <row r="625">
      <c r="E625" s="46"/>
    </row>
    <row r="626">
      <c r="E626" s="46"/>
    </row>
    <row r="627">
      <c r="E627" s="46"/>
    </row>
    <row r="628">
      <c r="E628" s="46"/>
    </row>
    <row r="629">
      <c r="E629" s="46"/>
    </row>
    <row r="630">
      <c r="E630" s="46"/>
    </row>
    <row r="631">
      <c r="E631" s="46"/>
    </row>
    <row r="632">
      <c r="E632" s="46"/>
    </row>
    <row r="633">
      <c r="E633" s="46"/>
    </row>
    <row r="634">
      <c r="E634" s="46"/>
    </row>
    <row r="635">
      <c r="E635" s="46"/>
    </row>
    <row r="636">
      <c r="E636" s="46"/>
    </row>
    <row r="637">
      <c r="E637" s="46"/>
    </row>
    <row r="638">
      <c r="E638" s="46"/>
    </row>
    <row r="639">
      <c r="E639" s="46"/>
    </row>
    <row r="640">
      <c r="E640" s="46"/>
    </row>
    <row r="641">
      <c r="E641" s="46"/>
    </row>
    <row r="642">
      <c r="E642" s="46"/>
    </row>
    <row r="643">
      <c r="E643" s="46"/>
    </row>
    <row r="644">
      <c r="E644" s="46"/>
    </row>
    <row r="645">
      <c r="E645" s="46"/>
    </row>
    <row r="646">
      <c r="E646" s="46"/>
    </row>
    <row r="647">
      <c r="E647" s="46"/>
    </row>
    <row r="648">
      <c r="E648" s="46"/>
    </row>
    <row r="649">
      <c r="E649" s="46"/>
    </row>
    <row r="650">
      <c r="E650" s="46"/>
    </row>
    <row r="651">
      <c r="E651" s="46"/>
    </row>
    <row r="652">
      <c r="E652" s="46"/>
    </row>
    <row r="653">
      <c r="E653" s="46"/>
    </row>
    <row r="654">
      <c r="E654" s="46"/>
    </row>
    <row r="655">
      <c r="E655" s="46"/>
    </row>
    <row r="656">
      <c r="E656" s="46"/>
    </row>
    <row r="657">
      <c r="E657" s="46"/>
    </row>
    <row r="658">
      <c r="E658" s="46"/>
    </row>
    <row r="659">
      <c r="E659" s="46"/>
    </row>
    <row r="660">
      <c r="E660" s="46"/>
    </row>
    <row r="661">
      <c r="E661" s="46"/>
    </row>
    <row r="662">
      <c r="E662" s="46"/>
    </row>
    <row r="663">
      <c r="E663" s="46"/>
    </row>
    <row r="664">
      <c r="E664" s="46"/>
    </row>
    <row r="665">
      <c r="E665" s="46"/>
    </row>
    <row r="666">
      <c r="E666" s="46"/>
    </row>
    <row r="667">
      <c r="E667" s="46"/>
    </row>
    <row r="668">
      <c r="E668" s="46"/>
    </row>
    <row r="669">
      <c r="E669" s="46"/>
    </row>
    <row r="670">
      <c r="E670" s="46"/>
    </row>
    <row r="671">
      <c r="E671" s="46"/>
    </row>
    <row r="672">
      <c r="E672" s="46"/>
    </row>
    <row r="673">
      <c r="E673" s="46"/>
    </row>
    <row r="674">
      <c r="E674" s="46"/>
    </row>
    <row r="675">
      <c r="E675" s="46"/>
    </row>
    <row r="676">
      <c r="E676" s="46"/>
    </row>
    <row r="677">
      <c r="E677" s="46"/>
    </row>
    <row r="678">
      <c r="E678" s="46"/>
    </row>
    <row r="679">
      <c r="E679" s="46"/>
    </row>
    <row r="680">
      <c r="E680" s="46"/>
    </row>
    <row r="681">
      <c r="E681" s="46"/>
    </row>
    <row r="682">
      <c r="E682" s="46"/>
    </row>
    <row r="683">
      <c r="E683" s="46"/>
    </row>
    <row r="684">
      <c r="E684" s="46"/>
    </row>
    <row r="685">
      <c r="E685" s="46"/>
    </row>
    <row r="686">
      <c r="E686" s="46"/>
    </row>
    <row r="687">
      <c r="E687" s="46"/>
    </row>
    <row r="688">
      <c r="E688" s="46"/>
    </row>
    <row r="689">
      <c r="E689" s="46"/>
    </row>
    <row r="690">
      <c r="E690" s="46"/>
    </row>
    <row r="691">
      <c r="E691" s="46"/>
    </row>
    <row r="692">
      <c r="E692" s="46"/>
    </row>
    <row r="693">
      <c r="E693" s="46"/>
    </row>
    <row r="694">
      <c r="E694" s="46"/>
    </row>
    <row r="695">
      <c r="E695" s="46"/>
    </row>
    <row r="696">
      <c r="E696" s="46"/>
    </row>
    <row r="697">
      <c r="E697" s="46"/>
    </row>
    <row r="698">
      <c r="E698" s="46"/>
    </row>
    <row r="699">
      <c r="E699" s="46"/>
    </row>
    <row r="700">
      <c r="E700" s="46"/>
    </row>
    <row r="701">
      <c r="E701" s="46"/>
    </row>
    <row r="702">
      <c r="E702" s="46"/>
    </row>
    <row r="703">
      <c r="E703" s="46"/>
    </row>
    <row r="704">
      <c r="E704" s="46"/>
    </row>
    <row r="705">
      <c r="E705" s="46"/>
    </row>
    <row r="706">
      <c r="E706" s="46"/>
    </row>
    <row r="707">
      <c r="E707" s="46"/>
    </row>
    <row r="708">
      <c r="E708" s="46"/>
    </row>
    <row r="709">
      <c r="E709" s="46"/>
    </row>
    <row r="710">
      <c r="E710" s="46"/>
    </row>
    <row r="711">
      <c r="E711" s="46"/>
    </row>
    <row r="712">
      <c r="E712" s="46"/>
    </row>
    <row r="713">
      <c r="E713" s="46"/>
    </row>
    <row r="714">
      <c r="E714" s="46"/>
    </row>
    <row r="715">
      <c r="E715" s="46"/>
    </row>
    <row r="716">
      <c r="E716" s="46"/>
    </row>
    <row r="717">
      <c r="E717" s="46"/>
    </row>
    <row r="718">
      <c r="E718" s="46"/>
    </row>
    <row r="719">
      <c r="E719" s="46"/>
    </row>
    <row r="720">
      <c r="E720" s="46"/>
    </row>
    <row r="721">
      <c r="E721" s="46"/>
    </row>
    <row r="722">
      <c r="E722" s="46"/>
    </row>
    <row r="723">
      <c r="E723" s="46"/>
    </row>
    <row r="724">
      <c r="E724" s="46"/>
    </row>
    <row r="725">
      <c r="E725" s="46"/>
    </row>
    <row r="726">
      <c r="E726" s="46"/>
    </row>
    <row r="727">
      <c r="E727" s="46"/>
    </row>
    <row r="728">
      <c r="E728" s="46"/>
    </row>
    <row r="729">
      <c r="E729" s="46"/>
    </row>
    <row r="730">
      <c r="E730" s="46"/>
    </row>
    <row r="731">
      <c r="E731" s="46"/>
    </row>
    <row r="732">
      <c r="E732" s="46"/>
    </row>
    <row r="733">
      <c r="E733" s="46"/>
    </row>
    <row r="734">
      <c r="E734" s="46"/>
    </row>
    <row r="735">
      <c r="E735" s="46"/>
    </row>
    <row r="736">
      <c r="E736" s="46"/>
    </row>
    <row r="737">
      <c r="E737" s="46"/>
    </row>
    <row r="738">
      <c r="E738" s="46"/>
    </row>
    <row r="739">
      <c r="E739" s="46"/>
    </row>
    <row r="740">
      <c r="E740" s="46"/>
    </row>
    <row r="741">
      <c r="E741" s="46"/>
    </row>
    <row r="742">
      <c r="E742" s="46"/>
    </row>
    <row r="743">
      <c r="E743" s="46"/>
    </row>
    <row r="744">
      <c r="E744" s="46"/>
    </row>
    <row r="745">
      <c r="E745" s="46"/>
    </row>
    <row r="746">
      <c r="E746" s="46"/>
    </row>
    <row r="747">
      <c r="E747" s="46"/>
    </row>
    <row r="748">
      <c r="E748" s="46"/>
    </row>
    <row r="749">
      <c r="E749" s="46"/>
    </row>
    <row r="750">
      <c r="E750" s="46"/>
    </row>
    <row r="751">
      <c r="E751" s="46"/>
    </row>
    <row r="752">
      <c r="E752" s="46"/>
    </row>
    <row r="753">
      <c r="E753" s="46"/>
    </row>
    <row r="754">
      <c r="E754" s="46"/>
    </row>
    <row r="755">
      <c r="E755" s="46"/>
    </row>
    <row r="756">
      <c r="E756" s="46"/>
    </row>
    <row r="757">
      <c r="E757" s="46"/>
    </row>
    <row r="758">
      <c r="E758" s="46"/>
    </row>
    <row r="759">
      <c r="E759" s="46"/>
    </row>
    <row r="760">
      <c r="E760" s="46"/>
    </row>
    <row r="761">
      <c r="E761" s="46"/>
    </row>
    <row r="762">
      <c r="E762" s="46"/>
    </row>
    <row r="763">
      <c r="E763" s="46"/>
    </row>
    <row r="764">
      <c r="E764" s="46"/>
    </row>
    <row r="765">
      <c r="E765" s="46"/>
    </row>
    <row r="766">
      <c r="E766" s="46"/>
    </row>
    <row r="767">
      <c r="E767" s="46"/>
    </row>
    <row r="768">
      <c r="E768" s="46"/>
    </row>
    <row r="769">
      <c r="E769" s="46"/>
    </row>
    <row r="770">
      <c r="E770" s="46"/>
    </row>
    <row r="771">
      <c r="E771" s="46"/>
    </row>
    <row r="772">
      <c r="E772" s="46"/>
    </row>
    <row r="773">
      <c r="E773" s="46"/>
    </row>
    <row r="774">
      <c r="E774" s="46"/>
    </row>
    <row r="775">
      <c r="E775" s="46"/>
    </row>
    <row r="776">
      <c r="E776" s="46"/>
    </row>
    <row r="777">
      <c r="E777" s="46"/>
    </row>
    <row r="778">
      <c r="E778" s="46"/>
    </row>
    <row r="779">
      <c r="E779" s="46"/>
    </row>
    <row r="780">
      <c r="E780" s="46"/>
    </row>
    <row r="781">
      <c r="E781" s="46"/>
    </row>
    <row r="782">
      <c r="E782" s="46"/>
    </row>
    <row r="783">
      <c r="E783" s="46"/>
    </row>
    <row r="784">
      <c r="E784" s="46"/>
    </row>
    <row r="785">
      <c r="E785" s="46"/>
    </row>
    <row r="786">
      <c r="E786" s="46"/>
    </row>
    <row r="787">
      <c r="E787" s="46"/>
    </row>
    <row r="788">
      <c r="E788" s="46"/>
    </row>
    <row r="789">
      <c r="E789" s="46"/>
    </row>
    <row r="790">
      <c r="E790" s="46"/>
    </row>
    <row r="791">
      <c r="E791" s="46"/>
    </row>
    <row r="792">
      <c r="E792" s="46"/>
    </row>
    <row r="793">
      <c r="E793" s="46"/>
    </row>
    <row r="794">
      <c r="E794" s="46"/>
    </row>
    <row r="795">
      <c r="E795" s="46"/>
    </row>
    <row r="796">
      <c r="E796" s="46"/>
    </row>
    <row r="797">
      <c r="E797" s="46"/>
    </row>
    <row r="798">
      <c r="E798" s="46"/>
    </row>
    <row r="799">
      <c r="E799" s="46"/>
    </row>
    <row r="800">
      <c r="E800" s="46"/>
    </row>
    <row r="801">
      <c r="E801" s="46"/>
    </row>
    <row r="802">
      <c r="E802" s="46"/>
    </row>
    <row r="803">
      <c r="E803" s="46"/>
    </row>
    <row r="804">
      <c r="E804" s="46"/>
    </row>
    <row r="805">
      <c r="E805" s="46"/>
    </row>
    <row r="806">
      <c r="E806" s="46"/>
    </row>
    <row r="807">
      <c r="E807" s="46"/>
    </row>
    <row r="808">
      <c r="E808" s="46"/>
    </row>
    <row r="809">
      <c r="E809" s="46"/>
    </row>
    <row r="810">
      <c r="E810" s="46"/>
    </row>
    <row r="811">
      <c r="E811" s="46"/>
    </row>
    <row r="812">
      <c r="E812" s="46"/>
    </row>
    <row r="813">
      <c r="E813" s="46"/>
    </row>
    <row r="814">
      <c r="E814" s="46"/>
    </row>
    <row r="815">
      <c r="E815" s="46"/>
    </row>
    <row r="816">
      <c r="E816" s="46"/>
    </row>
    <row r="817">
      <c r="E817" s="46"/>
    </row>
    <row r="818">
      <c r="E818" s="46"/>
    </row>
    <row r="819">
      <c r="E819" s="46"/>
    </row>
    <row r="820">
      <c r="E820" s="46"/>
    </row>
    <row r="821">
      <c r="E821" s="46"/>
    </row>
    <row r="822">
      <c r="E822" s="46"/>
    </row>
    <row r="823">
      <c r="E823" s="46"/>
    </row>
    <row r="824">
      <c r="E824" s="46"/>
    </row>
    <row r="825">
      <c r="E825" s="46"/>
    </row>
    <row r="826">
      <c r="E826" s="46"/>
    </row>
    <row r="827">
      <c r="E827" s="46"/>
    </row>
    <row r="828">
      <c r="E828" s="46"/>
    </row>
    <row r="829">
      <c r="E829" s="46"/>
    </row>
    <row r="830">
      <c r="E830" s="46"/>
    </row>
    <row r="831">
      <c r="E831" s="46"/>
    </row>
    <row r="832">
      <c r="E832" s="46"/>
    </row>
    <row r="833">
      <c r="E833" s="46"/>
    </row>
    <row r="834">
      <c r="E834" s="46"/>
    </row>
    <row r="835">
      <c r="E835" s="46"/>
    </row>
    <row r="836">
      <c r="E836" s="46"/>
    </row>
    <row r="837">
      <c r="E837" s="46"/>
    </row>
    <row r="838">
      <c r="E838" s="46"/>
    </row>
    <row r="839">
      <c r="E839" s="46"/>
    </row>
    <row r="840">
      <c r="E840" s="46"/>
    </row>
    <row r="841">
      <c r="E841" s="46"/>
    </row>
    <row r="842">
      <c r="E842" s="46"/>
    </row>
    <row r="843">
      <c r="E843" s="46"/>
    </row>
    <row r="844">
      <c r="E844" s="46"/>
    </row>
    <row r="845">
      <c r="E845" s="46"/>
    </row>
    <row r="846">
      <c r="E846" s="46"/>
    </row>
    <row r="847">
      <c r="E847" s="46"/>
    </row>
    <row r="848">
      <c r="E848" s="46"/>
    </row>
    <row r="849">
      <c r="E849" s="46"/>
    </row>
    <row r="850">
      <c r="E850" s="46"/>
    </row>
    <row r="851">
      <c r="E851" s="46"/>
    </row>
    <row r="852">
      <c r="E852" s="46"/>
    </row>
    <row r="853">
      <c r="E853" s="46"/>
    </row>
    <row r="854">
      <c r="E854" s="46"/>
    </row>
    <row r="855">
      <c r="E855" s="46"/>
    </row>
    <row r="856">
      <c r="E856" s="46"/>
    </row>
    <row r="857">
      <c r="E857" s="46"/>
    </row>
    <row r="858">
      <c r="E858" s="46"/>
    </row>
    <row r="859">
      <c r="E859" s="46"/>
    </row>
    <row r="860">
      <c r="E860" s="46"/>
    </row>
    <row r="861">
      <c r="E861" s="46"/>
    </row>
    <row r="862">
      <c r="E862" s="46"/>
    </row>
    <row r="863">
      <c r="E863" s="46"/>
    </row>
    <row r="864">
      <c r="E864" s="46"/>
    </row>
    <row r="865">
      <c r="E865" s="46"/>
    </row>
    <row r="866">
      <c r="E866" s="46"/>
    </row>
    <row r="867">
      <c r="E867" s="46"/>
    </row>
    <row r="868">
      <c r="E868" s="46"/>
    </row>
    <row r="869">
      <c r="E869" s="46"/>
    </row>
    <row r="870">
      <c r="E870" s="46"/>
    </row>
    <row r="871">
      <c r="E871" s="46"/>
    </row>
    <row r="872">
      <c r="E872" s="46"/>
    </row>
    <row r="873">
      <c r="E873" s="46"/>
    </row>
    <row r="874">
      <c r="E874" s="46"/>
    </row>
    <row r="875">
      <c r="E875" s="46"/>
    </row>
    <row r="876">
      <c r="E876" s="46"/>
    </row>
    <row r="877">
      <c r="E877" s="46"/>
    </row>
    <row r="878">
      <c r="E878" s="46"/>
    </row>
    <row r="879">
      <c r="E879" s="46"/>
    </row>
    <row r="880">
      <c r="E880" s="46"/>
    </row>
    <row r="881">
      <c r="E881" s="46"/>
    </row>
    <row r="882">
      <c r="E882" s="46"/>
    </row>
    <row r="883">
      <c r="E883" s="46"/>
    </row>
    <row r="884">
      <c r="E884" s="46"/>
    </row>
    <row r="885">
      <c r="E885" s="46"/>
    </row>
    <row r="886">
      <c r="E886" s="46"/>
    </row>
    <row r="887">
      <c r="E887" s="46"/>
    </row>
    <row r="888">
      <c r="E888" s="46"/>
    </row>
    <row r="889">
      <c r="E889" s="46"/>
    </row>
    <row r="890">
      <c r="E890" s="46"/>
    </row>
    <row r="891">
      <c r="E891" s="46"/>
    </row>
    <row r="892">
      <c r="E892" s="46"/>
    </row>
    <row r="893">
      <c r="E893" s="46"/>
    </row>
    <row r="894">
      <c r="E894" s="46"/>
    </row>
    <row r="895">
      <c r="E895" s="46"/>
    </row>
    <row r="896">
      <c r="E896" s="46"/>
    </row>
    <row r="897">
      <c r="E897" s="46"/>
    </row>
    <row r="898">
      <c r="E898" s="46"/>
    </row>
    <row r="899">
      <c r="E899" s="46"/>
    </row>
    <row r="900">
      <c r="E900" s="46"/>
    </row>
    <row r="901">
      <c r="E901" s="46"/>
    </row>
    <row r="902">
      <c r="E902" s="46"/>
    </row>
    <row r="903">
      <c r="E903" s="46"/>
    </row>
    <row r="904">
      <c r="E904" s="46"/>
    </row>
    <row r="905">
      <c r="E905" s="46"/>
    </row>
    <row r="906">
      <c r="E906" s="46"/>
    </row>
    <row r="907">
      <c r="E907" s="46"/>
    </row>
    <row r="908">
      <c r="E908" s="46"/>
    </row>
    <row r="909">
      <c r="E909" s="46"/>
    </row>
    <row r="910">
      <c r="E910" s="46"/>
    </row>
    <row r="911">
      <c r="E911" s="46"/>
    </row>
    <row r="912">
      <c r="E912" s="46"/>
    </row>
    <row r="913">
      <c r="E913" s="46"/>
    </row>
    <row r="914">
      <c r="E914" s="46"/>
    </row>
    <row r="915">
      <c r="E915" s="46"/>
    </row>
    <row r="916">
      <c r="E916" s="46"/>
    </row>
    <row r="917">
      <c r="E917" s="46"/>
    </row>
    <row r="918">
      <c r="E918" s="46"/>
    </row>
    <row r="919">
      <c r="E919" s="46"/>
    </row>
    <row r="920">
      <c r="E920" s="46"/>
    </row>
    <row r="921">
      <c r="E921" s="46"/>
    </row>
    <row r="922">
      <c r="E922" s="46"/>
    </row>
    <row r="923">
      <c r="E923" s="46"/>
    </row>
    <row r="924">
      <c r="E924" s="46"/>
    </row>
    <row r="925">
      <c r="E925" s="46"/>
    </row>
    <row r="926">
      <c r="E926" s="46"/>
    </row>
    <row r="927">
      <c r="E927" s="46"/>
    </row>
    <row r="928">
      <c r="E928" s="46"/>
    </row>
    <row r="929">
      <c r="E929" s="46"/>
    </row>
    <row r="930">
      <c r="E930" s="46"/>
    </row>
    <row r="931">
      <c r="E931" s="46"/>
    </row>
    <row r="932">
      <c r="E932" s="46"/>
    </row>
    <row r="933">
      <c r="E933" s="46"/>
    </row>
    <row r="934">
      <c r="E934" s="46"/>
    </row>
    <row r="935">
      <c r="E935" s="46"/>
    </row>
    <row r="936">
      <c r="E936" s="46"/>
    </row>
    <row r="937">
      <c r="E937" s="46"/>
    </row>
    <row r="938">
      <c r="E938" s="46"/>
    </row>
    <row r="939">
      <c r="E939" s="46"/>
    </row>
    <row r="940">
      <c r="E940" s="46"/>
    </row>
    <row r="941">
      <c r="E941" s="46"/>
    </row>
    <row r="942">
      <c r="E942" s="46"/>
    </row>
    <row r="943">
      <c r="E943" s="46"/>
    </row>
    <row r="944">
      <c r="E944" s="46"/>
    </row>
    <row r="945">
      <c r="E945" s="46"/>
    </row>
    <row r="946">
      <c r="E946" s="46"/>
    </row>
    <row r="947">
      <c r="E947" s="46"/>
    </row>
    <row r="948">
      <c r="E948" s="46"/>
    </row>
    <row r="949">
      <c r="E949" s="46"/>
    </row>
    <row r="950">
      <c r="E950" s="46"/>
    </row>
    <row r="951">
      <c r="E951" s="46"/>
    </row>
    <row r="952">
      <c r="E952" s="46"/>
    </row>
    <row r="953">
      <c r="E953" s="46"/>
    </row>
    <row r="954">
      <c r="E954" s="46"/>
    </row>
    <row r="955">
      <c r="E955" s="46"/>
    </row>
    <row r="956">
      <c r="E956" s="46"/>
    </row>
    <row r="957">
      <c r="E957" s="46"/>
    </row>
    <row r="958">
      <c r="E958" s="46"/>
    </row>
    <row r="959">
      <c r="E959" s="46"/>
    </row>
    <row r="960">
      <c r="E960" s="46"/>
    </row>
    <row r="961">
      <c r="E961" s="46"/>
    </row>
    <row r="962">
      <c r="E962" s="46"/>
    </row>
    <row r="963">
      <c r="E963" s="46"/>
    </row>
    <row r="964">
      <c r="E964" s="46"/>
    </row>
    <row r="965">
      <c r="E965" s="46"/>
    </row>
    <row r="966">
      <c r="E966" s="46"/>
    </row>
    <row r="967">
      <c r="E967" s="46"/>
    </row>
    <row r="968">
      <c r="E968" s="46"/>
    </row>
    <row r="969">
      <c r="E969" s="46"/>
    </row>
    <row r="970">
      <c r="E970" s="46"/>
    </row>
    <row r="971">
      <c r="E971" s="46"/>
    </row>
    <row r="972">
      <c r="E972" s="46"/>
    </row>
    <row r="973">
      <c r="E973" s="46"/>
    </row>
    <row r="974">
      <c r="E974" s="46"/>
    </row>
    <row r="975">
      <c r="E975" s="46"/>
    </row>
    <row r="976">
      <c r="E976" s="46"/>
    </row>
    <row r="977">
      <c r="E977" s="46"/>
    </row>
    <row r="978">
      <c r="E978" s="46"/>
    </row>
    <row r="979">
      <c r="E979" s="46"/>
    </row>
    <row r="980">
      <c r="E980" s="46"/>
    </row>
    <row r="981">
      <c r="E981" s="46"/>
    </row>
    <row r="982">
      <c r="E982" s="46"/>
    </row>
    <row r="983">
      <c r="E983" s="46"/>
    </row>
    <row r="984">
      <c r="E984" s="46"/>
    </row>
    <row r="985">
      <c r="E985" s="46"/>
    </row>
    <row r="986">
      <c r="E986" s="46"/>
    </row>
    <row r="987">
      <c r="E987" s="46"/>
    </row>
    <row r="988">
      <c r="E988" s="46"/>
    </row>
    <row r="989">
      <c r="E989" s="46"/>
    </row>
    <row r="990">
      <c r="E990" s="46"/>
    </row>
    <row r="991">
      <c r="E991" s="46"/>
    </row>
    <row r="992">
      <c r="E992" s="46"/>
    </row>
    <row r="993">
      <c r="E993" s="46"/>
    </row>
    <row r="994">
      <c r="E994" s="46"/>
    </row>
    <row r="995">
      <c r="E995" s="46"/>
    </row>
    <row r="996">
      <c r="E996" s="46"/>
    </row>
    <row r="997">
      <c r="E997" s="46"/>
    </row>
    <row r="998">
      <c r="E998" s="46"/>
    </row>
    <row r="999">
      <c r="E999" s="46"/>
    </row>
  </sheetData>
  <mergeCells count="1">
    <mergeCell ref="D1:E1"/>
  </mergeCells>
  <conditionalFormatting sqref="Q2">
    <cfRule type="expression" dxfId="6" priority="1">
      <formula>Q3&gt;#REF!</formula>
    </cfRule>
  </conditionalFormatting>
  <dataValidations>
    <dataValidation type="list" allowBlank="1" showErrorMessage="1" sqref="D1">
      <formula1>Validation!$A$1:$A$17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71"/>
    <col customWidth="1" min="2" max="2" width="23.14"/>
    <col customWidth="1" min="3" max="3" width="9.0"/>
    <col customWidth="1" min="4" max="4" width="10.57"/>
    <col customWidth="1" min="5" max="5" width="10.43"/>
    <col customWidth="1" min="6" max="6" width="10.0"/>
    <col customWidth="1" min="7" max="7" width="9.14"/>
    <col customWidth="1" min="8" max="8" width="8.86"/>
    <col customWidth="1" min="9" max="9" width="7.57"/>
    <col customWidth="1" min="10" max="10" width="9.57"/>
  </cols>
  <sheetData>
    <row r="1">
      <c r="C1" s="21" t="s">
        <v>43</v>
      </c>
      <c r="D1" s="22" t="s">
        <v>32</v>
      </c>
    </row>
    <row r="2" ht="22.5" customHeight="1">
      <c r="A2" s="23" t="s">
        <v>45</v>
      </c>
      <c r="B2" s="24" t="s">
        <v>46</v>
      </c>
      <c r="C2" s="25" t="s">
        <v>21</v>
      </c>
      <c r="D2" s="25" t="s">
        <v>47</v>
      </c>
      <c r="E2" s="27" t="s">
        <v>3</v>
      </c>
      <c r="F2" s="27" t="s">
        <v>4</v>
      </c>
    </row>
    <row r="3" ht="22.5" customHeight="1">
      <c r="A3" s="28">
        <v>1.0</v>
      </c>
      <c r="B3" s="29" t="str">
        <f>IFNA(VLOOKUP($A3,Game_Data[],5,0),"")</f>
        <v>The Crew</v>
      </c>
      <c r="C3" s="30">
        <f t="shared" ref="C3:C17" si="1">IFERROR(ROUND(F3/E3,4),"")</f>
        <v>0.3333</v>
      </c>
      <c r="D3" s="47">
        <v>0.0</v>
      </c>
      <c r="E3" s="32">
        <f>IFERROR(__xludf.DUMMYFUNCTION("IFNA(SUM(FILTER(Game_Data[AB],Game_Data[Game #]&lt;=$A3,Game_Data[Player]=$D$1)),"""")"),3.0)</f>
        <v>3</v>
      </c>
      <c r="F3" s="33">
        <f>IFERROR(__xludf.DUMMYFUNCTION("IFNA(SUM(FILTER(Game_Data[H],Game_Data[Game #]&lt;=$A3,Game_Data[Player]=$D$1)),"""")"),1.0)</f>
        <v>1</v>
      </c>
    </row>
    <row r="4" ht="22.5" customHeight="1">
      <c r="A4" s="35">
        <v>2.0</v>
      </c>
      <c r="B4" s="36" t="str">
        <f>IFNA(VLOOKUP($A4,Game_Data[],5,0),"")</f>
        <v>The Crew</v>
      </c>
      <c r="C4" s="37">
        <f t="shared" si="1"/>
        <v>0.5714</v>
      </c>
      <c r="D4" s="48">
        <f t="shared" ref="D4:D40" si="2">ROUND(C4-C3, 4)</f>
        <v>0.2381</v>
      </c>
      <c r="E4" s="34">
        <f>IFERROR(__xludf.DUMMYFUNCTION("IFNA(SUM(FILTER(Game_Data[AB],Game_Data[Game #]&lt;=$A4,Game_Data[Player]=$D$1)),"""")"),7.0)</f>
        <v>7</v>
      </c>
      <c r="F4" s="39">
        <f>IFERROR(__xludf.DUMMYFUNCTION("IFNA(SUM(FILTER(Game_Data[H],Game_Data[Game #]&lt;=$A4,Game_Data[Player]=$D$1)),"""")"),4.0)</f>
        <v>4</v>
      </c>
    </row>
    <row r="5" ht="22.5" customHeight="1">
      <c r="A5" s="35">
        <v>3.0</v>
      </c>
      <c r="B5" s="36" t="str">
        <f>IFNA(VLOOKUP($A5,Game_Data[],5,0),"")</f>
        <v>Surge</v>
      </c>
      <c r="C5" s="37">
        <f t="shared" si="1"/>
        <v>0.5455</v>
      </c>
      <c r="D5" s="48">
        <f t="shared" si="2"/>
        <v>-0.0259</v>
      </c>
      <c r="E5" s="34">
        <f>IFERROR(__xludf.DUMMYFUNCTION("IFNA(SUM(FILTER(Game_Data[AB],Game_Data[Game #]&lt;=$A5,Game_Data[Player]=$D$1)),"""")"),11.0)</f>
        <v>11</v>
      </c>
      <c r="F5" s="39">
        <f>IFERROR(__xludf.DUMMYFUNCTION("IFNA(SUM(FILTER(Game_Data[H],Game_Data[Game #]&lt;=$A5,Game_Data[Player]=$D$1)),"""")"),6.0)</f>
        <v>6</v>
      </c>
    </row>
    <row r="6" ht="22.5" customHeight="1">
      <c r="A6" s="35">
        <v>4.0</v>
      </c>
      <c r="B6" s="36" t="str">
        <f>IFNA(VLOOKUP($A6,Game_Data[],5,0),"")</f>
        <v>Inglorious Batters</v>
      </c>
      <c r="C6" s="37">
        <f t="shared" si="1"/>
        <v>0.6</v>
      </c>
      <c r="D6" s="48">
        <f t="shared" si="2"/>
        <v>0.0545</v>
      </c>
      <c r="E6" s="34">
        <f>IFERROR(__xludf.DUMMYFUNCTION("IFNA(SUM(FILTER(Game_Data[AB],Game_Data[Game #]&lt;=$A6,Game_Data[Player]=$D$1)),"""")"),15.0)</f>
        <v>15</v>
      </c>
      <c r="F6" s="39">
        <f>IFERROR(__xludf.DUMMYFUNCTION("IFNA(SUM(FILTER(Game_Data[H],Game_Data[Game #]&lt;=$A6,Game_Data[Player]=$D$1)),"""")"),9.0)</f>
        <v>9</v>
      </c>
    </row>
    <row r="7" ht="22.5" customHeight="1">
      <c r="A7" s="35">
        <v>5.0</v>
      </c>
      <c r="B7" s="36" t="str">
        <f>IFNA(VLOOKUP($A7,Game_Data[],5,0),"")</f>
        <v>Greenthumbs</v>
      </c>
      <c r="C7" s="37">
        <f t="shared" si="1"/>
        <v>0.6</v>
      </c>
      <c r="D7" s="48">
        <f t="shared" si="2"/>
        <v>0</v>
      </c>
      <c r="E7" s="34">
        <f>IFERROR(__xludf.DUMMYFUNCTION("IFNA(SUM(FILTER(Game_Data[AB],Game_Data[Game #]&lt;=$A7,Game_Data[Player]=$D$1)),"""")"),15.0)</f>
        <v>15</v>
      </c>
      <c r="F7" s="39">
        <f>IFERROR(__xludf.DUMMYFUNCTION("IFNA(SUM(FILTER(Game_Data[H],Game_Data[Game #]&lt;=$A7,Game_Data[Player]=$D$1)),"""")"),9.0)</f>
        <v>9</v>
      </c>
    </row>
    <row r="8" ht="22.5" customHeight="1">
      <c r="A8" s="35">
        <v>6.0</v>
      </c>
      <c r="B8" s="36" t="str">
        <f>IFNA(VLOOKUP($A8,Game_Data[],5,0),"")</f>
        <v>Falcons</v>
      </c>
      <c r="C8" s="37">
        <f t="shared" si="1"/>
        <v>0.6</v>
      </c>
      <c r="D8" s="48">
        <f t="shared" si="2"/>
        <v>0</v>
      </c>
      <c r="E8" s="34">
        <f>IFERROR(__xludf.DUMMYFUNCTION("IFNA(SUM(FILTER(Game_Data[AB],Game_Data[Game #]&lt;=$A8,Game_Data[Player]=$D$1)),"""")"),15.0)</f>
        <v>15</v>
      </c>
      <c r="F8" s="39">
        <f>IFERROR(__xludf.DUMMYFUNCTION("IFNA(SUM(FILTER(Game_Data[H],Game_Data[Game #]&lt;=$A8,Game_Data[Player]=$D$1)),"""")"),9.0)</f>
        <v>9</v>
      </c>
    </row>
    <row r="9" ht="22.5" customHeight="1">
      <c r="A9" s="35">
        <v>7.0</v>
      </c>
      <c r="B9" s="36" t="str">
        <f>IFNA(VLOOKUP($A9,Game_Data[],5,0),"")</f>
        <v>Triple Play</v>
      </c>
      <c r="C9" s="37">
        <f t="shared" si="1"/>
        <v>0.6</v>
      </c>
      <c r="D9" s="48">
        <f t="shared" si="2"/>
        <v>0</v>
      </c>
      <c r="E9" s="34">
        <f>IFERROR(__xludf.DUMMYFUNCTION("IFNA(SUM(FILTER(Game_Data[AB],Game_Data[Game #]&lt;=$A9,Game_Data[Player]=$D$1)),"""")"),15.0)</f>
        <v>15</v>
      </c>
      <c r="F9" s="39">
        <f>IFERROR(__xludf.DUMMYFUNCTION("IFNA(SUM(FILTER(Game_Data[H],Game_Data[Game #]&lt;=$A9,Game_Data[Player]=$D$1)),"""")"),9.0)</f>
        <v>9</v>
      </c>
    </row>
    <row r="10" ht="22.5" customHeight="1">
      <c r="A10" s="35">
        <v>8.0</v>
      </c>
      <c r="B10" s="36" t="str">
        <f>IFNA(VLOOKUP($A10,Game_Data[],5,0),"")</f>
        <v>Hanet Plastics</v>
      </c>
      <c r="C10" s="37">
        <f t="shared" si="1"/>
        <v>0.6842</v>
      </c>
      <c r="D10" s="48">
        <f t="shared" si="2"/>
        <v>0.0842</v>
      </c>
      <c r="E10" s="34">
        <f>IFERROR(__xludf.DUMMYFUNCTION("IFNA(SUM(FILTER(Game_Data[AB],Game_Data[Game #]&lt;=$A10,Game_Data[Player]=$D$1)),"""")"),19.0)</f>
        <v>19</v>
      </c>
      <c r="F10" s="39">
        <f>IFERROR(__xludf.DUMMYFUNCTION("IFNA(SUM(FILTER(Game_Data[H],Game_Data[Game #]&lt;=$A10,Game_Data[Player]=$D$1)),"""")"),13.0)</f>
        <v>13</v>
      </c>
    </row>
    <row r="11" ht="22.5" customHeight="1">
      <c r="A11" s="35">
        <v>9.0</v>
      </c>
      <c r="B11" s="36" t="str">
        <f>IFNA(VLOOKUP($A11,Game_Data[],5,0),"")</f>
        <v>Broadway</v>
      </c>
      <c r="C11" s="37">
        <f t="shared" si="1"/>
        <v>0.7273</v>
      </c>
      <c r="D11" s="48">
        <f t="shared" si="2"/>
        <v>0.0431</v>
      </c>
      <c r="E11" s="34">
        <f>IFERROR(__xludf.DUMMYFUNCTION("IFNA(SUM(FILTER(Game_Data[AB],Game_Data[Game #]&lt;=$A11,Game_Data[Player]=$D$1)),"""")"),22.0)</f>
        <v>22</v>
      </c>
      <c r="F11" s="39">
        <f>IFERROR(__xludf.DUMMYFUNCTION("IFNA(SUM(FILTER(Game_Data[H],Game_Data[Game #]&lt;=$A11,Game_Data[Player]=$D$1)),"""")"),16.0)</f>
        <v>16</v>
      </c>
    </row>
    <row r="12" ht="22.5" customHeight="1">
      <c r="A12" s="35">
        <v>10.0</v>
      </c>
      <c r="B12" s="36" t="str">
        <f>IFNA(VLOOKUP($A12,Game_Data[],5,0),"")</f>
        <v>Storm</v>
      </c>
      <c r="C12" s="37">
        <f t="shared" si="1"/>
        <v>0.7308</v>
      </c>
      <c r="D12" s="48">
        <f t="shared" si="2"/>
        <v>0.0035</v>
      </c>
      <c r="E12" s="34">
        <f>IFERROR(__xludf.DUMMYFUNCTION("IFNA(SUM(FILTER(Game_Data[AB],Game_Data[Game #]&lt;=$A12,Game_Data[Player]=$D$1)),"""")"),26.0)</f>
        <v>26</v>
      </c>
      <c r="F12" s="39">
        <f>IFERROR(__xludf.DUMMYFUNCTION("IFNA(SUM(FILTER(Game_Data[H],Game_Data[Game #]&lt;=$A12,Game_Data[Player]=$D$1)),"""")"),19.0)</f>
        <v>19</v>
      </c>
    </row>
    <row r="13" ht="22.5" customHeight="1">
      <c r="A13" s="35">
        <v>11.0</v>
      </c>
      <c r="B13" s="36" t="str">
        <f>IFNA(VLOOKUP($A13,Game_Data[],5,0),"")</f>
        <v>Coulas Bone Crushers</v>
      </c>
      <c r="C13" s="37">
        <f t="shared" si="1"/>
        <v>0.7308</v>
      </c>
      <c r="D13" s="48">
        <f t="shared" si="2"/>
        <v>0</v>
      </c>
      <c r="E13" s="34">
        <f>IFERROR(__xludf.DUMMYFUNCTION("IFNA(SUM(FILTER(Game_Data[AB],Game_Data[Game #]&lt;=$A13,Game_Data[Player]=$D$1)),"""")"),26.0)</f>
        <v>26</v>
      </c>
      <c r="F13" s="39">
        <f>IFERROR(__xludf.DUMMYFUNCTION("IFNA(SUM(FILTER(Game_Data[H],Game_Data[Game #]&lt;=$A13,Game_Data[Player]=$D$1)),"""")"),19.0)</f>
        <v>19</v>
      </c>
    </row>
    <row r="14" ht="22.5" customHeight="1">
      <c r="A14" s="35">
        <v>12.0</v>
      </c>
      <c r="B14" s="36" t="str">
        <f>IFNA(VLOOKUP($A14,Game_Data[],5,0),"")</f>
        <v>Broadway</v>
      </c>
      <c r="C14" s="37">
        <f t="shared" si="1"/>
        <v>0.7308</v>
      </c>
      <c r="D14" s="48">
        <f t="shared" si="2"/>
        <v>0</v>
      </c>
      <c r="E14" s="34">
        <f>IFERROR(__xludf.DUMMYFUNCTION("IFNA(SUM(FILTER(Game_Data[AB],Game_Data[Game #]&lt;=$A14,Game_Data[Player]=$D$1)),"""")"),26.0)</f>
        <v>26</v>
      </c>
      <c r="F14" s="39">
        <f>IFERROR(__xludf.DUMMYFUNCTION("IFNA(SUM(FILTER(Game_Data[H],Game_Data[Game #]&lt;=$A14,Game_Data[Player]=$D$1)),"""")"),19.0)</f>
        <v>19</v>
      </c>
    </row>
    <row r="15" ht="22.5" customHeight="1">
      <c r="A15" s="35">
        <v>13.0</v>
      </c>
      <c r="B15" s="36" t="str">
        <f>IFNA(VLOOKUP($A15,Game_Data[],5,0),"")</f>
        <v>Falcons</v>
      </c>
      <c r="C15" s="37">
        <f t="shared" si="1"/>
        <v>0.7333</v>
      </c>
      <c r="D15" s="48">
        <f t="shared" si="2"/>
        <v>0.0025</v>
      </c>
      <c r="E15" s="34">
        <f>IFERROR(__xludf.DUMMYFUNCTION("IFNA(SUM(FILTER(Game_Data[AB],Game_Data[Game #]&lt;=$A15,Game_Data[Player]=$D$1)),"""")"),30.0)</f>
        <v>30</v>
      </c>
      <c r="F15" s="39">
        <f>IFERROR(__xludf.DUMMYFUNCTION("IFNA(SUM(FILTER(Game_Data[H],Game_Data[Game #]&lt;=$A15,Game_Data[Player]=$D$1)),"""")"),22.0)</f>
        <v>22</v>
      </c>
    </row>
    <row r="16" ht="22.5" customHeight="1">
      <c r="A16" s="35">
        <v>14.0</v>
      </c>
      <c r="B16" s="36" t="str">
        <f>IFNA(VLOOKUP($A16,Game_Data[],5,0),"")</f>
        <v>Triple Play</v>
      </c>
      <c r="C16" s="37">
        <f t="shared" si="1"/>
        <v>0.7273</v>
      </c>
      <c r="D16" s="48">
        <f t="shared" si="2"/>
        <v>-0.006</v>
      </c>
      <c r="E16" s="34">
        <f>IFERROR(__xludf.DUMMYFUNCTION("IFNA(SUM(FILTER(Game_Data[AB],Game_Data[Game #]&lt;=$A16,Game_Data[Player]=$D$1)),"""")"),33.0)</f>
        <v>33</v>
      </c>
      <c r="F16" s="39">
        <f>IFERROR(__xludf.DUMMYFUNCTION("IFNA(SUM(FILTER(Game_Data[H],Game_Data[Game #]&lt;=$A16,Game_Data[Player]=$D$1)),"""")"),24.0)</f>
        <v>24</v>
      </c>
    </row>
    <row r="17" ht="22.5" customHeight="1">
      <c r="A17" s="35">
        <v>15.0</v>
      </c>
      <c r="B17" s="36" t="str">
        <f>IFNA(VLOOKUP($A17,Game_Data[],5,0),"")</f>
        <v>Greenthumbs</v>
      </c>
      <c r="C17" s="37">
        <f t="shared" si="1"/>
        <v>0.7368</v>
      </c>
      <c r="D17" s="48">
        <f t="shared" si="2"/>
        <v>0.0095</v>
      </c>
      <c r="E17" s="34">
        <f>IFERROR(__xludf.DUMMYFUNCTION("IFNA(SUM(FILTER(Game_Data[AB],Game_Data[Game #]&lt;=$A17,Game_Data[Player]=$D$1)),"""")"),38.0)</f>
        <v>38</v>
      </c>
      <c r="F17" s="39">
        <f>IFERROR(__xludf.DUMMYFUNCTION("IFNA(SUM(FILTER(Game_Data[H],Game_Data[Game #]&lt;=$A17,Game_Data[Player]=$D$1)),"""")"),28.0)</f>
        <v>28</v>
      </c>
    </row>
    <row r="18" ht="22.5" customHeight="1">
      <c r="A18" s="35">
        <v>16.0</v>
      </c>
      <c r="B18" s="36" t="str">
        <f>IFNA(VLOOKUP($A18,Game_Data[],5,0),"")</f>
        <v>Surge</v>
      </c>
      <c r="C18" s="37">
        <f t="shared" ref="C18:C40" si="3">IFERROR(F18/E18,"")</f>
        <v>0.7317073171</v>
      </c>
      <c r="D18" s="48">
        <f t="shared" si="2"/>
        <v>-0.0051</v>
      </c>
      <c r="E18" s="34">
        <f>IFERROR(__xludf.DUMMYFUNCTION("IFNA(SUM(FILTER(Game_Data[AB],Game_Data[Game #]&lt;=$A18,Game_Data[Player]=$D$1)),"""")"),41.0)</f>
        <v>41</v>
      </c>
      <c r="F18" s="39">
        <f>IFERROR(__xludf.DUMMYFUNCTION("IFNA(SUM(FILTER(Game_Data[H],Game_Data[Game #]&lt;=$A18,Game_Data[Player]=$D$1)),"""")"),30.0)</f>
        <v>30</v>
      </c>
    </row>
    <row r="19" ht="22.5" customHeight="1">
      <c r="A19" s="35">
        <v>17.0</v>
      </c>
      <c r="B19" s="36" t="str">
        <f>IFNA(VLOOKUP($A19,Game_Data[],5,0),"")</f>
        <v>Storm</v>
      </c>
      <c r="C19" s="37">
        <f t="shared" si="3"/>
        <v>0.7045454545</v>
      </c>
      <c r="D19" s="48">
        <f t="shared" si="2"/>
        <v>-0.0272</v>
      </c>
      <c r="E19" s="34">
        <f>IFERROR(__xludf.DUMMYFUNCTION("IFNA(SUM(FILTER(Game_Data[AB],Game_Data[Game #]&lt;=$A19,Game_Data[Player]=$D$1)),"""")"),44.0)</f>
        <v>44</v>
      </c>
      <c r="F19" s="39">
        <f>IFERROR(__xludf.DUMMYFUNCTION("IFNA(SUM(FILTER(Game_Data[H],Game_Data[Game #]&lt;=$A19,Game_Data[Player]=$D$1)),"""")"),31.0)</f>
        <v>31</v>
      </c>
    </row>
    <row r="20" ht="22.5" customHeight="1">
      <c r="A20" s="35">
        <v>18.0</v>
      </c>
      <c r="B20" s="36" t="str">
        <f>IFNA(VLOOKUP($A20,Game_Data[],5,0),"")</f>
        <v>Broadway</v>
      </c>
      <c r="C20" s="37">
        <f t="shared" si="3"/>
        <v>0.6875</v>
      </c>
      <c r="D20" s="48">
        <f t="shared" si="2"/>
        <v>-0.017</v>
      </c>
      <c r="E20" s="34">
        <f>IFERROR(__xludf.DUMMYFUNCTION("IFNA(SUM(FILTER(Game_Data[AB],Game_Data[Game #]&lt;=$A20,Game_Data[Player]=$D$1)),"""")"),48.0)</f>
        <v>48</v>
      </c>
      <c r="F20" s="39">
        <f>IFERROR(__xludf.DUMMYFUNCTION("IFNA(SUM(FILTER(Game_Data[H],Game_Data[Game #]&lt;=$A20,Game_Data[Player]=$D$1)),"""")"),33.0)</f>
        <v>33</v>
      </c>
    </row>
    <row r="21" ht="22.5" customHeight="1">
      <c r="A21" s="35">
        <v>19.0</v>
      </c>
      <c r="B21" s="36" t="str">
        <f>IFNA(VLOOKUP($A21,Game_Data[],5,0),"")</f>
        <v>Inglorious Batters</v>
      </c>
      <c r="C21" s="37">
        <f t="shared" si="3"/>
        <v>0.6981132075</v>
      </c>
      <c r="D21" s="48">
        <f t="shared" si="2"/>
        <v>0.0106</v>
      </c>
      <c r="E21" s="34">
        <f>IFERROR(__xludf.DUMMYFUNCTION("IFNA(SUM(FILTER(Game_Data[AB],Game_Data[Game #]&lt;=$A21,Game_Data[Player]=$D$1)),"""")"),53.0)</f>
        <v>53</v>
      </c>
      <c r="F21" s="39">
        <f>IFERROR(__xludf.DUMMYFUNCTION("IFNA(SUM(FILTER(Game_Data[H],Game_Data[Game #]&lt;=$A21,Game_Data[Player]=$D$1)),"""")"),37.0)</f>
        <v>37</v>
      </c>
    </row>
    <row r="22" ht="22.5" customHeight="1">
      <c r="A22" s="35">
        <v>20.0</v>
      </c>
      <c r="B22" s="36" t="str">
        <f>IFNA(VLOOKUP($A22,Game_Data[],5,0),"")</f>
        <v>The Expos</v>
      </c>
      <c r="C22" s="37">
        <f t="shared" si="3"/>
        <v>0.6981132075</v>
      </c>
      <c r="D22" s="48">
        <f t="shared" si="2"/>
        <v>0</v>
      </c>
      <c r="E22" s="34">
        <f>IFERROR(__xludf.DUMMYFUNCTION("IFNA(SUM(FILTER(Game_Data[AB],Game_Data[Game #]&lt;=$A22,Game_Data[Player]=$D$1)),"""")"),53.0)</f>
        <v>53</v>
      </c>
      <c r="F22" s="39">
        <f>IFERROR(__xludf.DUMMYFUNCTION("IFNA(SUM(FILTER(Game_Data[H],Game_Data[Game #]&lt;=$A22,Game_Data[Player]=$D$1)),"""")"),37.0)</f>
        <v>37</v>
      </c>
    </row>
    <row r="23" ht="22.5" customHeight="1">
      <c r="A23" s="35">
        <v>21.0</v>
      </c>
      <c r="B23" s="36" t="str">
        <f>IFNA(VLOOKUP($A23,Game_Data[],5,0),"")</f>
        <v>Storm</v>
      </c>
      <c r="C23" s="37">
        <f t="shared" si="3"/>
        <v>0.6981132075</v>
      </c>
      <c r="D23" s="48">
        <f t="shared" si="2"/>
        <v>0</v>
      </c>
      <c r="E23" s="34">
        <f>IFERROR(__xludf.DUMMYFUNCTION("IFNA(SUM(FILTER(Game_Data[AB],Game_Data[Game #]&lt;=$A23,Game_Data[Player]=$D$1)),"""")"),53.0)</f>
        <v>53</v>
      </c>
      <c r="F23" s="39">
        <f>IFERROR(__xludf.DUMMYFUNCTION("IFNA(SUM(FILTER(Game_Data[H],Game_Data[Game #]&lt;=$A23,Game_Data[Player]=$D$1)),"""")"),37.0)</f>
        <v>37</v>
      </c>
    </row>
    <row r="24" ht="22.5" customHeight="1">
      <c r="A24" s="35">
        <v>22.0</v>
      </c>
      <c r="B24" s="36" t="str">
        <f>IFNA(VLOOKUP($A24,Game_Data[],5,0),"")</f>
        <v>Broadway</v>
      </c>
      <c r="C24" s="37">
        <f t="shared" si="3"/>
        <v>0.6981132075</v>
      </c>
      <c r="D24" s="48">
        <f t="shared" si="2"/>
        <v>0</v>
      </c>
      <c r="E24" s="34">
        <f>IFERROR(__xludf.DUMMYFUNCTION("IFNA(SUM(FILTER(Game_Data[AB],Game_Data[Game #]&lt;=$A24,Game_Data[Player]=$D$1)),"""")"),53.0)</f>
        <v>53</v>
      </c>
      <c r="F24" s="39">
        <f>IFERROR(__xludf.DUMMYFUNCTION("IFNA(SUM(FILTER(Game_Data[H],Game_Data[Game #]&lt;=$A24,Game_Data[Player]=$D$1)),"""")"),37.0)</f>
        <v>37</v>
      </c>
    </row>
    <row r="25" ht="22.5" customHeight="1">
      <c r="A25" s="35">
        <v>23.0</v>
      </c>
      <c r="B25" s="36" t="str">
        <f>IFNA(VLOOKUP($A25,Game_Data[],5,0),"")</f>
        <v>Coulas Bone Crushers</v>
      </c>
      <c r="C25" s="37">
        <f t="shared" si="3"/>
        <v>0.6785714286</v>
      </c>
      <c r="D25" s="48">
        <f t="shared" si="2"/>
        <v>-0.0195</v>
      </c>
      <c r="E25" s="34">
        <f>IFERROR(__xludf.DUMMYFUNCTION("IFNA(SUM(FILTER(Game_Data[AB],Game_Data[Game #]&lt;=$A25,Game_Data[Player]=$D$1)),"""")"),56.0)</f>
        <v>56</v>
      </c>
      <c r="F25" s="39">
        <f>IFERROR(__xludf.DUMMYFUNCTION("IFNA(SUM(FILTER(Game_Data[H],Game_Data[Game #]&lt;=$A25,Game_Data[Player]=$D$1)),"""")"),38.0)</f>
        <v>38</v>
      </c>
    </row>
    <row r="26" ht="22.5" customHeight="1">
      <c r="A26" s="35">
        <v>24.0</v>
      </c>
      <c r="B26" s="36" t="str">
        <f>IFNA(VLOOKUP($A26,Game_Data[],5,0),"")</f>
        <v>The Crew</v>
      </c>
      <c r="C26" s="37">
        <f t="shared" si="3"/>
        <v>0.6440677966</v>
      </c>
      <c r="D26" s="48">
        <f t="shared" si="2"/>
        <v>-0.0345</v>
      </c>
      <c r="E26" s="34">
        <f>IFERROR(__xludf.DUMMYFUNCTION("IFNA(SUM(FILTER(Game_Data[AB],Game_Data[Game #]&lt;=$A26,Game_Data[Player]=$D$1)),"""")"),59.0)</f>
        <v>59</v>
      </c>
      <c r="F26" s="39">
        <f>IFERROR(__xludf.DUMMYFUNCTION("IFNA(SUM(FILTER(Game_Data[H],Game_Data[Game #]&lt;=$A26,Game_Data[Player]=$D$1)),"""")"),38.0)</f>
        <v>38</v>
      </c>
    </row>
    <row r="27" ht="22.5" customHeight="1">
      <c r="A27" s="35">
        <v>25.0</v>
      </c>
      <c r="B27" s="36" t="str">
        <f>IFNA(VLOOKUP($A27,Game_Data[],5,0),"")</f>
        <v>Triple Play</v>
      </c>
      <c r="C27" s="37">
        <f t="shared" si="3"/>
        <v>0.6290322581</v>
      </c>
      <c r="D27" s="48">
        <f t="shared" si="2"/>
        <v>-0.015</v>
      </c>
      <c r="E27" s="34">
        <f>IFERROR(__xludf.DUMMYFUNCTION("IFNA(SUM(FILTER(Game_Data[AB],Game_Data[Game #]&lt;=$A27,Game_Data[Player]=$D$1)),"""")"),62.0)</f>
        <v>62</v>
      </c>
      <c r="F27" s="39">
        <f>IFERROR(__xludf.DUMMYFUNCTION("IFNA(SUM(FILTER(Game_Data[H],Game_Data[Game #]&lt;=$A27,Game_Data[Player]=$D$1)),"""")"),39.0)</f>
        <v>39</v>
      </c>
    </row>
    <row r="28" ht="22.5" customHeight="1">
      <c r="A28" s="35">
        <v>26.0</v>
      </c>
      <c r="B28" s="36" t="str">
        <f>IFNA(VLOOKUP($A28,Game_Data[],5,0),"")</f>
        <v>Greenthumbs</v>
      </c>
      <c r="C28" s="37">
        <f t="shared" si="3"/>
        <v>0.6153846154</v>
      </c>
      <c r="D28" s="48">
        <f t="shared" si="2"/>
        <v>-0.0136</v>
      </c>
      <c r="E28" s="34">
        <f>IFERROR(__xludf.DUMMYFUNCTION("IFNA(SUM(FILTER(Game_Data[AB],Game_Data[Game #]&lt;=$A28,Game_Data[Player]=$D$1)),"""")"),65.0)</f>
        <v>65</v>
      </c>
      <c r="F28" s="39">
        <f>IFERROR(__xludf.DUMMYFUNCTION("IFNA(SUM(FILTER(Game_Data[H],Game_Data[Game #]&lt;=$A28,Game_Data[Player]=$D$1)),"""")"),40.0)</f>
        <v>40</v>
      </c>
    </row>
    <row r="29" ht="22.5" customHeight="1">
      <c r="A29" s="35">
        <v>27.0</v>
      </c>
      <c r="B29" s="36" t="str">
        <f>IFNA(VLOOKUP($A29,Game_Data[],5,0),"")</f>
        <v>Storm</v>
      </c>
      <c r="C29" s="37">
        <f t="shared" si="3"/>
        <v>0.6153846154</v>
      </c>
      <c r="D29" s="48">
        <f t="shared" si="2"/>
        <v>0</v>
      </c>
      <c r="E29" s="34">
        <f>IFERROR(__xludf.DUMMYFUNCTION("IFNA(SUM(FILTER(Game_Data[AB],Game_Data[Game #]&lt;=$A29,Game_Data[Player]=$D$1)),"""")"),65.0)</f>
        <v>65</v>
      </c>
      <c r="F29" s="39">
        <f>IFERROR(__xludf.DUMMYFUNCTION("IFNA(SUM(FILTER(Game_Data[H],Game_Data[Game #]&lt;=$A29,Game_Data[Player]=$D$1)),"""")"),40.0)</f>
        <v>40</v>
      </c>
    </row>
    <row r="30" ht="22.5" customHeight="1">
      <c r="A30" s="35">
        <v>28.0</v>
      </c>
      <c r="B30" s="36" t="str">
        <f>IFNA(VLOOKUP($A30,Game_Data[],5,0),"")</f>
        <v>The Crew</v>
      </c>
      <c r="C30" s="37">
        <f t="shared" si="3"/>
        <v>0.6153846154</v>
      </c>
      <c r="D30" s="48">
        <f t="shared" si="2"/>
        <v>0</v>
      </c>
      <c r="E30" s="34">
        <f>IFERROR(__xludf.DUMMYFUNCTION("IFNA(SUM(FILTER(Game_Data[AB],Game_Data[Game #]&lt;=$A30,Game_Data[Player]=$D$1)),"""")"),65.0)</f>
        <v>65</v>
      </c>
      <c r="F30" s="39">
        <f>IFERROR(__xludf.DUMMYFUNCTION("IFNA(SUM(FILTER(Game_Data[H],Game_Data[Game #]&lt;=$A30,Game_Data[Player]=$D$1)),"""")"),40.0)</f>
        <v>40</v>
      </c>
    </row>
    <row r="31" ht="22.5" customHeight="1">
      <c r="A31" s="35">
        <v>29.0</v>
      </c>
      <c r="B31" s="36" t="str">
        <f>IFNA(VLOOKUP($A31,Game_Data[],5,0),"")</f>
        <v>Inglorious Batters</v>
      </c>
      <c r="C31" s="37">
        <f t="shared" si="3"/>
        <v>0.6153846154</v>
      </c>
      <c r="D31" s="48">
        <f t="shared" si="2"/>
        <v>0</v>
      </c>
      <c r="E31" s="34">
        <f>IFERROR(__xludf.DUMMYFUNCTION("IFNA(SUM(FILTER(Game_Data[AB],Game_Data[Game #]&lt;=$A31,Game_Data[Player]=$D$1)),"""")"),65.0)</f>
        <v>65</v>
      </c>
      <c r="F31" s="39">
        <f>IFERROR(__xludf.DUMMYFUNCTION("IFNA(SUM(FILTER(Game_Data[H],Game_Data[Game #]&lt;=$A31,Game_Data[Player]=$D$1)),"""")"),40.0)</f>
        <v>40</v>
      </c>
    </row>
    <row r="32" ht="22.5" customHeight="1">
      <c r="A32" s="35">
        <v>30.0</v>
      </c>
      <c r="B32" s="36" t="str">
        <f>IFNA(VLOOKUP($A32,Game_Data[],5,0),"")</f>
        <v>Falcons</v>
      </c>
      <c r="C32" s="37">
        <f t="shared" si="3"/>
        <v>0.6323529412</v>
      </c>
      <c r="D32" s="48">
        <f t="shared" si="2"/>
        <v>0.017</v>
      </c>
      <c r="E32" s="34">
        <f>IFERROR(__xludf.DUMMYFUNCTION("IFNA(SUM(FILTER(Game_Data[AB],Game_Data[Game #]&lt;=$A32,Game_Data[Player]=$D$1)),"""")"),68.0)</f>
        <v>68</v>
      </c>
      <c r="F32" s="39">
        <f>IFERROR(__xludf.DUMMYFUNCTION("IFNA(SUM(FILTER(Game_Data[H],Game_Data[Game #]&lt;=$A32,Game_Data[Player]=$D$1)),"""")"),43.0)</f>
        <v>43</v>
      </c>
    </row>
    <row r="33" ht="22.5" customHeight="1">
      <c r="A33" s="35">
        <v>31.0</v>
      </c>
      <c r="B33" s="36" t="str">
        <f>IFNA(VLOOKUP($A33,Game_Data[],5,0),"")</f>
        <v>Triple Play</v>
      </c>
      <c r="C33" s="37">
        <f t="shared" si="3"/>
        <v>0.625</v>
      </c>
      <c r="D33" s="48">
        <f t="shared" si="2"/>
        <v>-0.0074</v>
      </c>
      <c r="E33" s="34">
        <f>IFERROR(__xludf.DUMMYFUNCTION("IFNA(SUM(FILTER(Game_Data[AB],Game_Data[Game #]&lt;=$A33,Game_Data[Player]=$D$1)),"""")"),72.0)</f>
        <v>72</v>
      </c>
      <c r="F33" s="39">
        <f>IFERROR(__xludf.DUMMYFUNCTION("IFNA(SUM(FILTER(Game_Data[H],Game_Data[Game #]&lt;=$A33,Game_Data[Player]=$D$1)),"""")"),45.0)</f>
        <v>45</v>
      </c>
    </row>
    <row r="34" ht="22.5" customHeight="1">
      <c r="A34" s="35">
        <v>32.0</v>
      </c>
      <c r="B34" s="36" t="str">
        <f>IFNA(VLOOKUP($A34,Game_Data[],5,0),"")</f>
        <v>Hanet Plastics</v>
      </c>
      <c r="C34" s="37">
        <f t="shared" si="3"/>
        <v>0.625</v>
      </c>
      <c r="D34" s="48">
        <f t="shared" si="2"/>
        <v>0</v>
      </c>
      <c r="E34" s="34">
        <f>IFERROR(__xludf.DUMMYFUNCTION("IFNA(SUM(FILTER(Game_Data[AB],Game_Data[Game #]&lt;=$A34,Game_Data[Player]=$D$1)),"""")"),72.0)</f>
        <v>72</v>
      </c>
      <c r="F34" s="39">
        <f>IFERROR(__xludf.DUMMYFUNCTION("IFNA(SUM(FILTER(Game_Data[H],Game_Data[Game #]&lt;=$A34,Game_Data[Player]=$D$1)),"""")"),45.0)</f>
        <v>45</v>
      </c>
    </row>
    <row r="35" ht="22.5" customHeight="1">
      <c r="A35" s="35">
        <v>33.0</v>
      </c>
      <c r="B35" s="36" t="str">
        <f>IFNA(VLOOKUP($A35,Game_Data[],5,0),"")</f>
        <v>Surge</v>
      </c>
      <c r="C35" s="37">
        <f t="shared" si="3"/>
        <v>0.625</v>
      </c>
      <c r="D35" s="48">
        <f t="shared" si="2"/>
        <v>0</v>
      </c>
      <c r="E35" s="34">
        <f>IFERROR(__xludf.DUMMYFUNCTION("IFNA(SUM(FILTER(Game_Data[AB],Game_Data[Game #]&lt;=$A35,Game_Data[Player]=$D$1)),"""")"),72.0)</f>
        <v>72</v>
      </c>
      <c r="F35" s="39">
        <f>IFERROR(__xludf.DUMMYFUNCTION("IFNA(SUM(FILTER(Game_Data[H],Game_Data[Game #]&lt;=$A35,Game_Data[Player]=$D$1)),"""")"),45.0)</f>
        <v>45</v>
      </c>
    </row>
    <row r="36" ht="22.5" customHeight="1">
      <c r="A36" s="35">
        <v>34.0</v>
      </c>
      <c r="B36" s="36" t="str">
        <f>IFNA(VLOOKUP($A36,Game_Data[],5,0),"")</f>
        <v>The Expos</v>
      </c>
      <c r="C36" s="37">
        <f t="shared" si="3"/>
        <v>0.6363636364</v>
      </c>
      <c r="D36" s="48">
        <f t="shared" si="2"/>
        <v>0.0114</v>
      </c>
      <c r="E36" s="34">
        <f>IFERROR(__xludf.DUMMYFUNCTION("IFNA(SUM(FILTER(Game_Data[AB],Game_Data[Game #]&lt;=$A36,Game_Data[Player]=$D$1)),"""")"),77.0)</f>
        <v>77</v>
      </c>
      <c r="F36" s="39">
        <f>IFERROR(__xludf.DUMMYFUNCTION("IFNA(SUM(FILTER(Game_Data[H],Game_Data[Game #]&lt;=$A36,Game_Data[Player]=$D$1)),"""")"),49.0)</f>
        <v>49</v>
      </c>
    </row>
    <row r="37" ht="22.5" customHeight="1">
      <c r="A37" s="35">
        <v>35.0</v>
      </c>
      <c r="B37" s="36" t="str">
        <f>IFNA(VLOOKUP($A37,Game_Data[],5,0),"")</f>
        <v>The Expos</v>
      </c>
      <c r="C37" s="37">
        <f t="shared" si="3"/>
        <v>0.6296296296</v>
      </c>
      <c r="D37" s="48">
        <f t="shared" si="2"/>
        <v>-0.0067</v>
      </c>
      <c r="E37" s="34">
        <f>IFERROR(__xludf.DUMMYFUNCTION("IFNA(SUM(FILTER(Game_Data[AB],Game_Data[Game #]&lt;=$A37,Game_Data[Player]=$D$1)),"""")"),81.0)</f>
        <v>81</v>
      </c>
      <c r="F37" s="39">
        <f>IFERROR(__xludf.DUMMYFUNCTION("IFNA(SUM(FILTER(Game_Data[H],Game_Data[Game #]&lt;=$A37,Game_Data[Player]=$D$1)),"""")"),51.0)</f>
        <v>51</v>
      </c>
    </row>
    <row r="38" ht="22.5" customHeight="1">
      <c r="A38" s="35">
        <v>36.0</v>
      </c>
      <c r="B38" s="36" t="str">
        <f>IFNA(VLOOKUP($A38,Game_Data[],5,0),"")</f>
        <v>Coulas Bone Crushers</v>
      </c>
      <c r="C38" s="37">
        <f t="shared" si="3"/>
        <v>0.6296296296</v>
      </c>
      <c r="D38" s="48">
        <f t="shared" si="2"/>
        <v>0</v>
      </c>
      <c r="E38" s="34">
        <f>IFERROR(__xludf.DUMMYFUNCTION("IFNA(SUM(FILTER(Game_Data[AB],Game_Data[Game #]&lt;=$A38,Game_Data[Player]=$D$1)),"""")"),81.0)</f>
        <v>81</v>
      </c>
      <c r="F38" s="39">
        <f>IFERROR(__xludf.DUMMYFUNCTION("IFNA(SUM(FILTER(Game_Data[H],Game_Data[Game #]&lt;=$A38,Game_Data[Player]=$D$1)),"""")"),51.0)</f>
        <v>51</v>
      </c>
    </row>
    <row r="39" ht="22.5" customHeight="1">
      <c r="A39" s="35">
        <v>37.0</v>
      </c>
      <c r="B39" s="36" t="str">
        <f>IFNA(VLOOKUP($A39,Game_Data[],5,0),"")</f>
        <v>Hanet Plastics</v>
      </c>
      <c r="C39" s="37">
        <f t="shared" si="3"/>
        <v>0.6</v>
      </c>
      <c r="D39" s="48">
        <f t="shared" si="2"/>
        <v>-0.0296</v>
      </c>
      <c r="E39" s="34">
        <f>IFERROR(__xludf.DUMMYFUNCTION("IFNA(SUM(FILTER(Game_Data[AB],Game_Data[Game #]&lt;=$A39,Game_Data[Player]=$D$1)),"""")"),85.0)</f>
        <v>85</v>
      </c>
      <c r="F39" s="39">
        <f>IFERROR(__xludf.DUMMYFUNCTION("IFNA(SUM(FILTER(Game_Data[H],Game_Data[Game #]&lt;=$A39,Game_Data[Player]=$D$1)),"""")"),51.0)</f>
        <v>51</v>
      </c>
    </row>
    <row r="40" ht="22.5" customHeight="1">
      <c r="A40" s="49">
        <v>38.0</v>
      </c>
      <c r="B40" s="50" t="str">
        <f>IFNA(VLOOKUP($A40,Game_Data[],5,0),"")</f>
        <v>Falcons</v>
      </c>
      <c r="C40" s="40">
        <f t="shared" si="3"/>
        <v>0.6</v>
      </c>
      <c r="D40" s="48">
        <f t="shared" si="2"/>
        <v>0</v>
      </c>
      <c r="E40" s="51">
        <f>IFERROR(__xludf.DUMMYFUNCTION("IFNA(SUM(FILTER(Game_Data[AB],Game_Data[Game #]&lt;=$A40,Game_Data[Player]=$D$1)),"""")"),85.0)</f>
        <v>85</v>
      </c>
      <c r="F40" s="52">
        <f>IFERROR(__xludf.DUMMYFUNCTION("IFNA(SUM(FILTER(Game_Data[H],Game_Data[Game #]&lt;=$A40,Game_Data[Player]=$D$1)),"""")"),51.0)</f>
        <v>51</v>
      </c>
    </row>
    <row r="41" ht="22.5" customHeight="1">
      <c r="A41" s="53"/>
      <c r="B41" s="54" t="s">
        <v>48</v>
      </c>
      <c r="C41" s="37">
        <f>MAX(Cumulative_AVG[AVG])</f>
        <v>0.7368</v>
      </c>
      <c r="D41" s="54" t="s">
        <v>49</v>
      </c>
      <c r="E41" s="37">
        <f>MIN(Cumulative_AVG[AVG])</f>
        <v>0.3333</v>
      </c>
      <c r="F41" s="45"/>
    </row>
    <row r="42">
      <c r="E42" s="46"/>
    </row>
    <row r="43">
      <c r="E43" s="46"/>
    </row>
    <row r="44">
      <c r="E44" s="46"/>
    </row>
    <row r="45">
      <c r="E45" s="46"/>
    </row>
    <row r="46">
      <c r="E46" s="46"/>
    </row>
    <row r="47">
      <c r="E47" s="46"/>
    </row>
    <row r="48">
      <c r="E48" s="46"/>
    </row>
    <row r="49">
      <c r="E49" s="46"/>
    </row>
    <row r="50">
      <c r="E50" s="46"/>
    </row>
    <row r="51">
      <c r="E51" s="46"/>
    </row>
    <row r="52">
      <c r="E52" s="46"/>
    </row>
    <row r="53">
      <c r="E53" s="46"/>
    </row>
    <row r="54">
      <c r="E54" s="46"/>
    </row>
    <row r="55">
      <c r="E55" s="46"/>
    </row>
    <row r="56">
      <c r="E56" s="46"/>
    </row>
    <row r="57">
      <c r="E57" s="46"/>
    </row>
    <row r="58">
      <c r="E58" s="46"/>
    </row>
    <row r="59">
      <c r="E59" s="46"/>
    </row>
    <row r="60">
      <c r="E60" s="46"/>
    </row>
    <row r="61">
      <c r="E61" s="46"/>
    </row>
    <row r="62">
      <c r="E62" s="46"/>
    </row>
    <row r="63">
      <c r="E63" s="46"/>
    </row>
    <row r="64">
      <c r="E64" s="46"/>
    </row>
    <row r="65">
      <c r="E65" s="46"/>
    </row>
    <row r="66">
      <c r="E66" s="46"/>
    </row>
    <row r="67">
      <c r="E67" s="46"/>
    </row>
    <row r="68">
      <c r="E68" s="46"/>
    </row>
    <row r="69">
      <c r="E69" s="46"/>
    </row>
    <row r="70">
      <c r="E70" s="46"/>
    </row>
    <row r="71">
      <c r="E71" s="46"/>
    </row>
    <row r="72">
      <c r="E72" s="46"/>
    </row>
    <row r="73">
      <c r="E73" s="46"/>
    </row>
    <row r="74">
      <c r="E74" s="46"/>
    </row>
    <row r="75">
      <c r="E75" s="46"/>
    </row>
    <row r="76">
      <c r="E76" s="46"/>
    </row>
    <row r="77">
      <c r="E77" s="46"/>
    </row>
    <row r="78">
      <c r="E78" s="46"/>
    </row>
    <row r="79">
      <c r="E79" s="46"/>
    </row>
    <row r="80">
      <c r="E80" s="46"/>
    </row>
    <row r="81">
      <c r="E81" s="46"/>
    </row>
    <row r="82">
      <c r="E82" s="46"/>
    </row>
    <row r="83">
      <c r="E83" s="46"/>
    </row>
    <row r="84">
      <c r="E84" s="46"/>
    </row>
    <row r="85">
      <c r="E85" s="46"/>
    </row>
    <row r="86">
      <c r="E86" s="46"/>
    </row>
    <row r="87">
      <c r="E87" s="46"/>
    </row>
    <row r="88">
      <c r="E88" s="46"/>
    </row>
    <row r="89">
      <c r="E89" s="46"/>
    </row>
    <row r="90">
      <c r="E90" s="46"/>
    </row>
    <row r="91">
      <c r="E91" s="46"/>
    </row>
    <row r="92">
      <c r="E92" s="46"/>
    </row>
    <row r="93">
      <c r="E93" s="46"/>
    </row>
    <row r="94">
      <c r="E94" s="46"/>
    </row>
    <row r="95">
      <c r="E95" s="46"/>
    </row>
    <row r="96">
      <c r="E96" s="46"/>
    </row>
    <row r="97">
      <c r="E97" s="46"/>
    </row>
    <row r="98">
      <c r="E98" s="46"/>
    </row>
    <row r="99">
      <c r="E99" s="46"/>
    </row>
    <row r="100">
      <c r="E100" s="46"/>
    </row>
    <row r="101">
      <c r="E101" s="46"/>
    </row>
    <row r="102">
      <c r="E102" s="46"/>
    </row>
    <row r="103">
      <c r="E103" s="46"/>
    </row>
    <row r="104">
      <c r="E104" s="46"/>
    </row>
    <row r="105">
      <c r="E105" s="46"/>
    </row>
    <row r="106">
      <c r="E106" s="46"/>
    </row>
    <row r="107">
      <c r="E107" s="46"/>
    </row>
    <row r="108">
      <c r="E108" s="46"/>
    </row>
    <row r="109">
      <c r="E109" s="46"/>
    </row>
    <row r="110">
      <c r="E110" s="46"/>
    </row>
    <row r="111">
      <c r="E111" s="46"/>
    </row>
    <row r="112">
      <c r="E112" s="46"/>
    </row>
    <row r="113">
      <c r="E113" s="46"/>
    </row>
    <row r="114">
      <c r="E114" s="46"/>
    </row>
    <row r="115">
      <c r="E115" s="46"/>
    </row>
    <row r="116">
      <c r="E116" s="46"/>
    </row>
    <row r="117">
      <c r="E117" s="46"/>
    </row>
    <row r="118">
      <c r="E118" s="46"/>
    </row>
    <row r="119">
      <c r="E119" s="46"/>
    </row>
    <row r="120">
      <c r="E120" s="46"/>
    </row>
    <row r="121">
      <c r="E121" s="46"/>
    </row>
    <row r="122">
      <c r="E122" s="46"/>
    </row>
    <row r="123">
      <c r="E123" s="46"/>
    </row>
    <row r="124">
      <c r="E124" s="46"/>
    </row>
    <row r="125">
      <c r="E125" s="46"/>
    </row>
    <row r="126">
      <c r="E126" s="46"/>
    </row>
    <row r="127">
      <c r="E127" s="46"/>
    </row>
    <row r="128">
      <c r="E128" s="46"/>
    </row>
    <row r="129">
      <c r="E129" s="46"/>
    </row>
    <row r="130">
      <c r="E130" s="46"/>
    </row>
    <row r="131">
      <c r="E131" s="46"/>
    </row>
    <row r="132">
      <c r="E132" s="46"/>
    </row>
    <row r="133">
      <c r="E133" s="46"/>
    </row>
    <row r="134">
      <c r="E134" s="46"/>
    </row>
    <row r="135">
      <c r="E135" s="46"/>
    </row>
    <row r="136">
      <c r="E136" s="46"/>
    </row>
    <row r="137">
      <c r="E137" s="46"/>
    </row>
    <row r="138">
      <c r="E138" s="46"/>
    </row>
    <row r="139">
      <c r="E139" s="46"/>
    </row>
    <row r="140">
      <c r="E140" s="46"/>
    </row>
    <row r="141">
      <c r="E141" s="46"/>
    </row>
    <row r="142">
      <c r="E142" s="46"/>
    </row>
    <row r="143">
      <c r="E143" s="46"/>
    </row>
    <row r="144">
      <c r="E144" s="46"/>
    </row>
    <row r="145">
      <c r="E145" s="46"/>
    </row>
    <row r="146">
      <c r="E146" s="46"/>
    </row>
    <row r="147">
      <c r="E147" s="46"/>
    </row>
    <row r="148">
      <c r="E148" s="46"/>
    </row>
    <row r="149">
      <c r="E149" s="46"/>
    </row>
    <row r="150">
      <c r="E150" s="46"/>
    </row>
    <row r="151">
      <c r="E151" s="46"/>
    </row>
    <row r="152">
      <c r="E152" s="46"/>
    </row>
    <row r="153">
      <c r="E153" s="46"/>
    </row>
    <row r="154">
      <c r="E154" s="46"/>
    </row>
    <row r="155">
      <c r="E155" s="46"/>
    </row>
    <row r="156">
      <c r="E156" s="46"/>
    </row>
    <row r="157">
      <c r="E157" s="46"/>
    </row>
    <row r="158">
      <c r="E158" s="46"/>
    </row>
    <row r="159">
      <c r="E159" s="46"/>
    </row>
    <row r="160">
      <c r="E160" s="46"/>
    </row>
    <row r="161">
      <c r="E161" s="46"/>
    </row>
    <row r="162">
      <c r="E162" s="46"/>
    </row>
    <row r="163">
      <c r="E163" s="46"/>
    </row>
    <row r="164">
      <c r="E164" s="46"/>
    </row>
    <row r="165">
      <c r="E165" s="46"/>
    </row>
    <row r="166">
      <c r="E166" s="46"/>
    </row>
    <row r="167">
      <c r="E167" s="46"/>
    </row>
    <row r="168">
      <c r="E168" s="46"/>
    </row>
    <row r="169">
      <c r="E169" s="46"/>
    </row>
    <row r="170">
      <c r="E170" s="46"/>
    </row>
    <row r="171">
      <c r="E171" s="46"/>
    </row>
    <row r="172">
      <c r="E172" s="46"/>
    </row>
    <row r="173">
      <c r="E173" s="46"/>
    </row>
    <row r="174">
      <c r="E174" s="46"/>
    </row>
    <row r="175">
      <c r="E175" s="46"/>
    </row>
    <row r="176">
      <c r="E176" s="46"/>
    </row>
    <row r="177">
      <c r="E177" s="46"/>
    </row>
    <row r="178">
      <c r="E178" s="46"/>
    </row>
    <row r="179">
      <c r="E179" s="46"/>
    </row>
    <row r="180">
      <c r="E180" s="46"/>
    </row>
    <row r="181">
      <c r="E181" s="46"/>
    </row>
    <row r="182">
      <c r="E182" s="46"/>
    </row>
    <row r="183">
      <c r="E183" s="46"/>
    </row>
    <row r="184">
      <c r="E184" s="46"/>
    </row>
    <row r="185">
      <c r="E185" s="46"/>
    </row>
    <row r="186">
      <c r="E186" s="46"/>
    </row>
    <row r="187">
      <c r="E187" s="46"/>
    </row>
    <row r="188">
      <c r="E188" s="46"/>
    </row>
    <row r="189">
      <c r="E189" s="46"/>
    </row>
    <row r="190">
      <c r="E190" s="46"/>
    </row>
    <row r="191">
      <c r="E191" s="46"/>
    </row>
    <row r="192">
      <c r="E192" s="46"/>
    </row>
    <row r="193">
      <c r="E193" s="46"/>
    </row>
    <row r="194">
      <c r="E194" s="46"/>
    </row>
    <row r="195">
      <c r="E195" s="46"/>
    </row>
    <row r="196">
      <c r="E196" s="46"/>
    </row>
    <row r="197">
      <c r="E197" s="46"/>
    </row>
    <row r="198">
      <c r="E198" s="46"/>
    </row>
    <row r="199">
      <c r="E199" s="46"/>
    </row>
    <row r="200">
      <c r="E200" s="46"/>
    </row>
    <row r="201">
      <c r="E201" s="46"/>
    </row>
    <row r="202">
      <c r="E202" s="46"/>
    </row>
    <row r="203">
      <c r="E203" s="46"/>
    </row>
    <row r="204">
      <c r="E204" s="46"/>
    </row>
    <row r="205">
      <c r="E205" s="46"/>
    </row>
    <row r="206">
      <c r="E206" s="46"/>
    </row>
    <row r="207">
      <c r="E207" s="46"/>
    </row>
    <row r="208">
      <c r="E208" s="46"/>
    </row>
    <row r="209">
      <c r="E209" s="46"/>
    </row>
    <row r="210">
      <c r="E210" s="46"/>
    </row>
    <row r="211">
      <c r="E211" s="46"/>
    </row>
    <row r="212">
      <c r="E212" s="46"/>
    </row>
    <row r="213">
      <c r="E213" s="46"/>
    </row>
    <row r="214">
      <c r="E214" s="46"/>
    </row>
    <row r="215">
      <c r="E215" s="46"/>
    </row>
    <row r="216">
      <c r="E216" s="46"/>
    </row>
    <row r="217">
      <c r="E217" s="46"/>
    </row>
    <row r="218">
      <c r="E218" s="46"/>
    </row>
    <row r="219">
      <c r="E219" s="46"/>
    </row>
    <row r="220">
      <c r="E220" s="46"/>
    </row>
    <row r="221">
      <c r="E221" s="46"/>
    </row>
    <row r="222">
      <c r="E222" s="46"/>
    </row>
    <row r="223">
      <c r="E223" s="46"/>
    </row>
    <row r="224">
      <c r="E224" s="46"/>
    </row>
    <row r="225">
      <c r="E225" s="46"/>
    </row>
    <row r="226">
      <c r="E226" s="46"/>
    </row>
    <row r="227">
      <c r="E227" s="46"/>
    </row>
    <row r="228">
      <c r="E228" s="46"/>
    </row>
    <row r="229">
      <c r="E229" s="46"/>
    </row>
    <row r="230">
      <c r="E230" s="46"/>
    </row>
    <row r="231">
      <c r="E231" s="46"/>
    </row>
    <row r="232">
      <c r="E232" s="46"/>
    </row>
    <row r="233">
      <c r="E233" s="46"/>
    </row>
    <row r="234">
      <c r="E234" s="46"/>
    </row>
    <row r="235">
      <c r="E235" s="46"/>
    </row>
    <row r="236">
      <c r="E236" s="46"/>
    </row>
    <row r="237">
      <c r="E237" s="46"/>
    </row>
    <row r="238">
      <c r="E238" s="46"/>
    </row>
    <row r="239">
      <c r="E239" s="46"/>
    </row>
    <row r="240">
      <c r="E240" s="46"/>
    </row>
    <row r="241">
      <c r="E241" s="46"/>
    </row>
    <row r="242">
      <c r="E242" s="46"/>
    </row>
    <row r="243">
      <c r="E243" s="46"/>
    </row>
    <row r="244">
      <c r="E244" s="46"/>
    </row>
    <row r="245">
      <c r="E245" s="46"/>
    </row>
    <row r="246">
      <c r="E246" s="46"/>
    </row>
    <row r="247">
      <c r="E247" s="46"/>
    </row>
    <row r="248">
      <c r="E248" s="46"/>
    </row>
    <row r="249">
      <c r="E249" s="46"/>
    </row>
    <row r="250">
      <c r="E250" s="46"/>
    </row>
    <row r="251">
      <c r="E251" s="46"/>
    </row>
    <row r="252">
      <c r="E252" s="46"/>
    </row>
    <row r="253">
      <c r="E253" s="46"/>
    </row>
    <row r="254">
      <c r="E254" s="46"/>
    </row>
    <row r="255">
      <c r="E255" s="46"/>
    </row>
    <row r="256">
      <c r="E256" s="46"/>
    </row>
    <row r="257">
      <c r="E257" s="46"/>
    </row>
    <row r="258">
      <c r="E258" s="46"/>
    </row>
    <row r="259">
      <c r="E259" s="46"/>
    </row>
    <row r="260">
      <c r="E260" s="46"/>
    </row>
    <row r="261">
      <c r="E261" s="46"/>
    </row>
    <row r="262">
      <c r="E262" s="46"/>
    </row>
    <row r="263">
      <c r="E263" s="46"/>
    </row>
    <row r="264">
      <c r="E264" s="46"/>
    </row>
    <row r="265">
      <c r="E265" s="46"/>
    </row>
    <row r="266">
      <c r="E266" s="46"/>
    </row>
    <row r="267">
      <c r="E267" s="46"/>
    </row>
    <row r="268">
      <c r="E268" s="46"/>
    </row>
    <row r="269">
      <c r="E269" s="46"/>
    </row>
    <row r="270">
      <c r="E270" s="46"/>
    </row>
    <row r="271">
      <c r="E271" s="46"/>
    </row>
    <row r="272">
      <c r="E272" s="46"/>
    </row>
    <row r="273">
      <c r="E273" s="46"/>
    </row>
    <row r="274">
      <c r="E274" s="46"/>
    </row>
    <row r="275">
      <c r="E275" s="46"/>
    </row>
    <row r="276">
      <c r="E276" s="46"/>
    </row>
    <row r="277">
      <c r="E277" s="46"/>
    </row>
    <row r="278">
      <c r="E278" s="46"/>
    </row>
    <row r="279">
      <c r="E279" s="46"/>
    </row>
    <row r="280">
      <c r="E280" s="46"/>
    </row>
    <row r="281">
      <c r="E281" s="46"/>
    </row>
    <row r="282">
      <c r="E282" s="46"/>
    </row>
    <row r="283">
      <c r="E283" s="46"/>
    </row>
    <row r="284">
      <c r="E284" s="46"/>
    </row>
    <row r="285">
      <c r="E285" s="46"/>
    </row>
    <row r="286">
      <c r="E286" s="46"/>
    </row>
    <row r="287">
      <c r="E287" s="46"/>
    </row>
    <row r="288">
      <c r="E288" s="46"/>
    </row>
    <row r="289">
      <c r="E289" s="46"/>
    </row>
    <row r="290">
      <c r="E290" s="46"/>
    </row>
    <row r="291">
      <c r="E291" s="46"/>
    </row>
    <row r="292">
      <c r="E292" s="46"/>
    </row>
    <row r="293">
      <c r="E293" s="46"/>
    </row>
    <row r="294">
      <c r="E294" s="46"/>
    </row>
    <row r="295">
      <c r="E295" s="46"/>
    </row>
    <row r="296">
      <c r="E296" s="46"/>
    </row>
    <row r="297">
      <c r="E297" s="46"/>
    </row>
    <row r="298">
      <c r="E298" s="46"/>
    </row>
    <row r="299">
      <c r="E299" s="46"/>
    </row>
    <row r="300">
      <c r="E300" s="46"/>
    </row>
    <row r="301">
      <c r="E301" s="46"/>
    </row>
    <row r="302">
      <c r="E302" s="46"/>
    </row>
    <row r="303">
      <c r="E303" s="46"/>
    </row>
    <row r="304">
      <c r="E304" s="46"/>
    </row>
    <row r="305">
      <c r="E305" s="46"/>
    </row>
    <row r="306">
      <c r="E306" s="46"/>
    </row>
    <row r="307">
      <c r="E307" s="46"/>
    </row>
    <row r="308">
      <c r="E308" s="46"/>
    </row>
    <row r="309">
      <c r="E309" s="46"/>
    </row>
    <row r="310">
      <c r="E310" s="46"/>
    </row>
    <row r="311">
      <c r="E311" s="46"/>
    </row>
    <row r="312">
      <c r="E312" s="46"/>
    </row>
    <row r="313">
      <c r="E313" s="46"/>
    </row>
    <row r="314">
      <c r="E314" s="46"/>
    </row>
    <row r="315">
      <c r="E315" s="46"/>
    </row>
    <row r="316">
      <c r="E316" s="46"/>
    </row>
    <row r="317">
      <c r="E317" s="46"/>
    </row>
    <row r="318">
      <c r="E318" s="46"/>
    </row>
    <row r="319">
      <c r="E319" s="46"/>
    </row>
    <row r="320">
      <c r="E320" s="46"/>
    </row>
    <row r="321">
      <c r="E321" s="46"/>
    </row>
    <row r="322">
      <c r="E322" s="46"/>
    </row>
    <row r="323">
      <c r="E323" s="46"/>
    </row>
    <row r="324">
      <c r="E324" s="46"/>
    </row>
    <row r="325">
      <c r="E325" s="46"/>
    </row>
    <row r="326">
      <c r="E326" s="46"/>
    </row>
    <row r="327">
      <c r="E327" s="46"/>
    </row>
    <row r="328">
      <c r="E328" s="46"/>
    </row>
    <row r="329">
      <c r="E329" s="46"/>
    </row>
    <row r="330">
      <c r="E330" s="46"/>
    </row>
    <row r="331">
      <c r="E331" s="46"/>
    </row>
    <row r="332">
      <c r="E332" s="46"/>
    </row>
    <row r="333">
      <c r="E333" s="46"/>
    </row>
    <row r="334">
      <c r="E334" s="46"/>
    </row>
    <row r="335">
      <c r="E335" s="46"/>
    </row>
    <row r="336">
      <c r="E336" s="46"/>
    </row>
    <row r="337">
      <c r="E337" s="46"/>
    </row>
    <row r="338">
      <c r="E338" s="46"/>
    </row>
    <row r="339">
      <c r="E339" s="46"/>
    </row>
    <row r="340">
      <c r="E340" s="46"/>
    </row>
    <row r="341">
      <c r="E341" s="46"/>
    </row>
    <row r="342">
      <c r="E342" s="46"/>
    </row>
    <row r="343">
      <c r="E343" s="46"/>
    </row>
    <row r="344">
      <c r="E344" s="46"/>
    </row>
    <row r="345">
      <c r="E345" s="46"/>
    </row>
    <row r="346">
      <c r="E346" s="46"/>
    </row>
    <row r="347">
      <c r="E347" s="46"/>
    </row>
    <row r="348">
      <c r="E348" s="46"/>
    </row>
    <row r="349">
      <c r="E349" s="46"/>
    </row>
    <row r="350">
      <c r="E350" s="46"/>
    </row>
    <row r="351">
      <c r="E351" s="46"/>
    </row>
    <row r="352">
      <c r="E352" s="46"/>
    </row>
    <row r="353">
      <c r="E353" s="46"/>
    </row>
    <row r="354">
      <c r="E354" s="46"/>
    </row>
    <row r="355">
      <c r="E355" s="46"/>
    </row>
    <row r="356">
      <c r="E356" s="46"/>
    </row>
    <row r="357">
      <c r="E357" s="46"/>
    </row>
    <row r="358">
      <c r="E358" s="46"/>
    </row>
    <row r="359">
      <c r="E359" s="46"/>
    </row>
    <row r="360">
      <c r="E360" s="46"/>
    </row>
    <row r="361">
      <c r="E361" s="46"/>
    </row>
    <row r="362">
      <c r="E362" s="46"/>
    </row>
    <row r="363">
      <c r="E363" s="46"/>
    </row>
    <row r="364">
      <c r="E364" s="46"/>
    </row>
    <row r="365">
      <c r="E365" s="46"/>
    </row>
    <row r="366">
      <c r="E366" s="46"/>
    </row>
    <row r="367">
      <c r="E367" s="46"/>
    </row>
    <row r="368">
      <c r="E368" s="46"/>
    </row>
    <row r="369">
      <c r="E369" s="46"/>
    </row>
    <row r="370">
      <c r="E370" s="46"/>
    </row>
    <row r="371">
      <c r="E371" s="46"/>
    </row>
    <row r="372">
      <c r="E372" s="46"/>
    </row>
    <row r="373">
      <c r="E373" s="46"/>
    </row>
    <row r="374">
      <c r="E374" s="46"/>
    </row>
    <row r="375">
      <c r="E375" s="46"/>
    </row>
    <row r="376">
      <c r="E376" s="46"/>
    </row>
    <row r="377">
      <c r="E377" s="46"/>
    </row>
    <row r="378">
      <c r="E378" s="46"/>
    </row>
    <row r="379">
      <c r="E379" s="46"/>
    </row>
    <row r="380">
      <c r="E380" s="46"/>
    </row>
    <row r="381">
      <c r="E381" s="46"/>
    </row>
    <row r="382">
      <c r="E382" s="46"/>
    </row>
    <row r="383">
      <c r="E383" s="46"/>
    </row>
    <row r="384">
      <c r="E384" s="46"/>
    </row>
    <row r="385">
      <c r="E385" s="46"/>
    </row>
    <row r="386">
      <c r="E386" s="46"/>
    </row>
    <row r="387">
      <c r="E387" s="46"/>
    </row>
    <row r="388">
      <c r="E388" s="46"/>
    </row>
    <row r="389">
      <c r="E389" s="46"/>
    </row>
    <row r="390">
      <c r="E390" s="46"/>
    </row>
    <row r="391">
      <c r="E391" s="46"/>
    </row>
    <row r="392">
      <c r="E392" s="46"/>
    </row>
    <row r="393">
      <c r="E393" s="46"/>
    </row>
    <row r="394">
      <c r="E394" s="46"/>
    </row>
    <row r="395">
      <c r="E395" s="46"/>
    </row>
    <row r="396">
      <c r="E396" s="46"/>
    </row>
    <row r="397">
      <c r="E397" s="46"/>
    </row>
    <row r="398">
      <c r="E398" s="46"/>
    </row>
    <row r="399">
      <c r="E399" s="46"/>
    </row>
    <row r="400">
      <c r="E400" s="46"/>
    </row>
    <row r="401">
      <c r="E401" s="46"/>
    </row>
    <row r="402">
      <c r="E402" s="46"/>
    </row>
    <row r="403">
      <c r="E403" s="46"/>
    </row>
    <row r="404">
      <c r="E404" s="46"/>
    </row>
    <row r="405">
      <c r="E405" s="46"/>
    </row>
    <row r="406">
      <c r="E406" s="46"/>
    </row>
    <row r="407">
      <c r="E407" s="46"/>
    </row>
    <row r="408">
      <c r="E408" s="46"/>
    </row>
    <row r="409">
      <c r="E409" s="46"/>
    </row>
    <row r="410">
      <c r="E410" s="46"/>
    </row>
    <row r="411">
      <c r="E411" s="46"/>
    </row>
    <row r="412">
      <c r="E412" s="46"/>
    </row>
    <row r="413">
      <c r="E413" s="46"/>
    </row>
    <row r="414">
      <c r="E414" s="46"/>
    </row>
    <row r="415">
      <c r="E415" s="46"/>
    </row>
    <row r="416">
      <c r="E416" s="46"/>
    </row>
    <row r="417">
      <c r="E417" s="46"/>
    </row>
    <row r="418">
      <c r="E418" s="46"/>
    </row>
    <row r="419">
      <c r="E419" s="46"/>
    </row>
    <row r="420">
      <c r="E420" s="46"/>
    </row>
    <row r="421">
      <c r="E421" s="46"/>
    </row>
    <row r="422">
      <c r="E422" s="46"/>
    </row>
    <row r="423">
      <c r="E423" s="46"/>
    </row>
    <row r="424">
      <c r="E424" s="46"/>
    </row>
    <row r="425">
      <c r="E425" s="46"/>
    </row>
    <row r="426">
      <c r="E426" s="46"/>
    </row>
    <row r="427">
      <c r="E427" s="46"/>
    </row>
    <row r="428">
      <c r="E428" s="46"/>
    </row>
    <row r="429">
      <c r="E429" s="46"/>
    </row>
    <row r="430">
      <c r="E430" s="46"/>
    </row>
    <row r="431">
      <c r="E431" s="46"/>
    </row>
    <row r="432">
      <c r="E432" s="46"/>
    </row>
    <row r="433">
      <c r="E433" s="46"/>
    </row>
    <row r="434">
      <c r="E434" s="46"/>
    </row>
    <row r="435">
      <c r="E435" s="46"/>
    </row>
    <row r="436">
      <c r="E436" s="46"/>
    </row>
    <row r="437">
      <c r="E437" s="46"/>
    </row>
    <row r="438">
      <c r="E438" s="46"/>
    </row>
    <row r="439">
      <c r="E439" s="46"/>
    </row>
    <row r="440">
      <c r="E440" s="46"/>
    </row>
    <row r="441">
      <c r="E441" s="46"/>
    </row>
    <row r="442">
      <c r="E442" s="46"/>
    </row>
    <row r="443">
      <c r="E443" s="46"/>
    </row>
    <row r="444">
      <c r="E444" s="46"/>
    </row>
    <row r="445">
      <c r="E445" s="46"/>
    </row>
    <row r="446">
      <c r="E446" s="46"/>
    </row>
    <row r="447">
      <c r="E447" s="46"/>
    </row>
    <row r="448">
      <c r="E448" s="46"/>
    </row>
    <row r="449">
      <c r="E449" s="46"/>
    </row>
    <row r="450">
      <c r="E450" s="46"/>
    </row>
    <row r="451">
      <c r="E451" s="46"/>
    </row>
    <row r="452">
      <c r="E452" s="46"/>
    </row>
    <row r="453">
      <c r="E453" s="46"/>
    </row>
    <row r="454">
      <c r="E454" s="46"/>
    </row>
    <row r="455">
      <c r="E455" s="46"/>
    </row>
    <row r="456">
      <c r="E456" s="46"/>
    </row>
    <row r="457">
      <c r="E457" s="46"/>
    </row>
    <row r="458">
      <c r="E458" s="46"/>
    </row>
    <row r="459">
      <c r="E459" s="46"/>
    </row>
    <row r="460">
      <c r="E460" s="46"/>
    </row>
    <row r="461">
      <c r="E461" s="46"/>
    </row>
    <row r="462">
      <c r="E462" s="46"/>
    </row>
    <row r="463">
      <c r="E463" s="46"/>
    </row>
    <row r="464">
      <c r="E464" s="46"/>
    </row>
    <row r="465">
      <c r="E465" s="46"/>
    </row>
    <row r="466">
      <c r="E466" s="46"/>
    </row>
    <row r="467">
      <c r="E467" s="46"/>
    </row>
    <row r="468">
      <c r="E468" s="46"/>
    </row>
    <row r="469">
      <c r="E469" s="46"/>
    </row>
    <row r="470">
      <c r="E470" s="46"/>
    </row>
    <row r="471">
      <c r="E471" s="46"/>
    </row>
    <row r="472">
      <c r="E472" s="46"/>
    </row>
    <row r="473">
      <c r="E473" s="46"/>
    </row>
    <row r="474">
      <c r="E474" s="46"/>
    </row>
    <row r="475">
      <c r="E475" s="46"/>
    </row>
    <row r="476">
      <c r="E476" s="46"/>
    </row>
    <row r="477">
      <c r="E477" s="46"/>
    </row>
    <row r="478">
      <c r="E478" s="46"/>
    </row>
    <row r="479">
      <c r="E479" s="46"/>
    </row>
    <row r="480">
      <c r="E480" s="46"/>
    </row>
    <row r="481">
      <c r="E481" s="46"/>
    </row>
    <row r="482">
      <c r="E482" s="46"/>
    </row>
    <row r="483">
      <c r="E483" s="46"/>
    </row>
    <row r="484">
      <c r="E484" s="46"/>
    </row>
    <row r="485">
      <c r="E485" s="46"/>
    </row>
    <row r="486">
      <c r="E486" s="46"/>
    </row>
    <row r="487">
      <c r="E487" s="46"/>
    </row>
    <row r="488">
      <c r="E488" s="46"/>
    </row>
    <row r="489">
      <c r="E489" s="46"/>
    </row>
    <row r="490">
      <c r="E490" s="46"/>
    </row>
    <row r="491">
      <c r="E491" s="46"/>
    </row>
    <row r="492">
      <c r="E492" s="46"/>
    </row>
    <row r="493">
      <c r="E493" s="46"/>
    </row>
    <row r="494">
      <c r="E494" s="46"/>
    </row>
    <row r="495">
      <c r="E495" s="46"/>
    </row>
    <row r="496">
      <c r="E496" s="46"/>
    </row>
    <row r="497">
      <c r="E497" s="46"/>
    </row>
    <row r="498">
      <c r="E498" s="46"/>
    </row>
    <row r="499">
      <c r="E499" s="46"/>
    </row>
    <row r="500">
      <c r="E500" s="46"/>
    </row>
    <row r="501">
      <c r="E501" s="46"/>
    </row>
    <row r="502">
      <c r="E502" s="46"/>
    </row>
    <row r="503">
      <c r="E503" s="46"/>
    </row>
    <row r="504">
      <c r="E504" s="46"/>
    </row>
    <row r="505">
      <c r="E505" s="46"/>
    </row>
    <row r="506">
      <c r="E506" s="46"/>
    </row>
    <row r="507">
      <c r="E507" s="46"/>
    </row>
    <row r="508">
      <c r="E508" s="46"/>
    </row>
    <row r="509">
      <c r="E509" s="46"/>
    </row>
    <row r="510">
      <c r="E510" s="46"/>
    </row>
    <row r="511">
      <c r="E511" s="46"/>
    </row>
    <row r="512">
      <c r="E512" s="46"/>
    </row>
    <row r="513">
      <c r="E513" s="46"/>
    </row>
    <row r="514">
      <c r="E514" s="46"/>
    </row>
    <row r="515">
      <c r="E515" s="46"/>
    </row>
    <row r="516">
      <c r="E516" s="46"/>
    </row>
    <row r="517">
      <c r="E517" s="46"/>
    </row>
    <row r="518">
      <c r="E518" s="46"/>
    </row>
    <row r="519">
      <c r="E519" s="46"/>
    </row>
    <row r="520">
      <c r="E520" s="46"/>
    </row>
    <row r="521">
      <c r="E521" s="46"/>
    </row>
    <row r="522">
      <c r="E522" s="46"/>
    </row>
    <row r="523">
      <c r="E523" s="46"/>
    </row>
    <row r="524">
      <c r="E524" s="46"/>
    </row>
    <row r="525">
      <c r="E525" s="46"/>
    </row>
    <row r="526">
      <c r="E526" s="46"/>
    </row>
    <row r="527">
      <c r="E527" s="46"/>
    </row>
    <row r="528">
      <c r="E528" s="46"/>
    </row>
    <row r="529">
      <c r="E529" s="46"/>
    </row>
    <row r="530">
      <c r="E530" s="46"/>
    </row>
    <row r="531">
      <c r="E531" s="46"/>
    </row>
    <row r="532">
      <c r="E532" s="46"/>
    </row>
    <row r="533">
      <c r="E533" s="46"/>
    </row>
    <row r="534">
      <c r="E534" s="46"/>
    </row>
    <row r="535">
      <c r="E535" s="46"/>
    </row>
    <row r="536">
      <c r="E536" s="46"/>
    </row>
    <row r="537">
      <c r="E537" s="46"/>
    </row>
    <row r="538">
      <c r="E538" s="46"/>
    </row>
    <row r="539">
      <c r="E539" s="46"/>
    </row>
    <row r="540">
      <c r="E540" s="46"/>
    </row>
    <row r="541">
      <c r="E541" s="46"/>
    </row>
    <row r="542">
      <c r="E542" s="46"/>
    </row>
    <row r="543">
      <c r="E543" s="46"/>
    </row>
    <row r="544">
      <c r="E544" s="46"/>
    </row>
    <row r="545">
      <c r="E545" s="46"/>
    </row>
    <row r="546">
      <c r="E546" s="46"/>
    </row>
    <row r="547">
      <c r="E547" s="46"/>
    </row>
    <row r="548">
      <c r="E548" s="46"/>
    </row>
    <row r="549">
      <c r="E549" s="46"/>
    </row>
    <row r="550">
      <c r="E550" s="46"/>
    </row>
    <row r="551">
      <c r="E551" s="46"/>
    </row>
    <row r="552">
      <c r="E552" s="46"/>
    </row>
    <row r="553">
      <c r="E553" s="46"/>
    </row>
    <row r="554">
      <c r="E554" s="46"/>
    </row>
    <row r="555">
      <c r="E555" s="46"/>
    </row>
    <row r="556">
      <c r="E556" s="46"/>
    </row>
    <row r="557">
      <c r="E557" s="46"/>
    </row>
    <row r="558">
      <c r="E558" s="46"/>
    </row>
    <row r="559">
      <c r="E559" s="46"/>
    </row>
    <row r="560">
      <c r="E560" s="46"/>
    </row>
    <row r="561">
      <c r="E561" s="46"/>
    </row>
    <row r="562">
      <c r="E562" s="46"/>
    </row>
    <row r="563">
      <c r="E563" s="46"/>
    </row>
    <row r="564">
      <c r="E564" s="46"/>
    </row>
    <row r="565">
      <c r="E565" s="46"/>
    </row>
    <row r="566">
      <c r="E566" s="46"/>
    </row>
    <row r="567">
      <c r="E567" s="46"/>
    </row>
    <row r="568">
      <c r="E568" s="46"/>
    </row>
    <row r="569">
      <c r="E569" s="46"/>
    </row>
    <row r="570">
      <c r="E570" s="46"/>
    </row>
    <row r="571">
      <c r="E571" s="46"/>
    </row>
    <row r="572">
      <c r="E572" s="46"/>
    </row>
    <row r="573">
      <c r="E573" s="46"/>
    </row>
    <row r="574">
      <c r="E574" s="46"/>
    </row>
    <row r="575">
      <c r="E575" s="46"/>
    </row>
    <row r="576">
      <c r="E576" s="46"/>
    </row>
    <row r="577">
      <c r="E577" s="46"/>
    </row>
    <row r="578">
      <c r="E578" s="46"/>
    </row>
    <row r="579">
      <c r="E579" s="46"/>
    </row>
    <row r="580">
      <c r="E580" s="46"/>
    </row>
    <row r="581">
      <c r="E581" s="46"/>
    </row>
    <row r="582">
      <c r="E582" s="46"/>
    </row>
    <row r="583">
      <c r="E583" s="46"/>
    </row>
    <row r="584">
      <c r="E584" s="46"/>
    </row>
    <row r="585">
      <c r="E585" s="46"/>
    </row>
    <row r="586">
      <c r="E586" s="46"/>
    </row>
    <row r="587">
      <c r="E587" s="46"/>
    </row>
    <row r="588">
      <c r="E588" s="46"/>
    </row>
    <row r="589">
      <c r="E589" s="46"/>
    </row>
    <row r="590">
      <c r="E590" s="46"/>
    </row>
    <row r="591">
      <c r="E591" s="46"/>
    </row>
    <row r="592">
      <c r="E592" s="46"/>
    </row>
    <row r="593">
      <c r="E593" s="46"/>
    </row>
    <row r="594">
      <c r="E594" s="46"/>
    </row>
    <row r="595">
      <c r="E595" s="46"/>
    </row>
    <row r="596">
      <c r="E596" s="46"/>
    </row>
    <row r="597">
      <c r="E597" s="46"/>
    </row>
    <row r="598">
      <c r="E598" s="46"/>
    </row>
    <row r="599">
      <c r="E599" s="46"/>
    </row>
    <row r="600">
      <c r="E600" s="46"/>
    </row>
    <row r="601">
      <c r="E601" s="46"/>
    </row>
    <row r="602">
      <c r="E602" s="46"/>
    </row>
    <row r="603">
      <c r="E603" s="46"/>
    </row>
    <row r="604">
      <c r="E604" s="46"/>
    </row>
    <row r="605">
      <c r="E605" s="46"/>
    </row>
    <row r="606">
      <c r="E606" s="46"/>
    </row>
    <row r="607">
      <c r="E607" s="46"/>
    </row>
    <row r="608">
      <c r="E608" s="46"/>
    </row>
    <row r="609">
      <c r="E609" s="46"/>
    </row>
    <row r="610">
      <c r="E610" s="46"/>
    </row>
    <row r="611">
      <c r="E611" s="46"/>
    </row>
    <row r="612">
      <c r="E612" s="46"/>
    </row>
    <row r="613">
      <c r="E613" s="46"/>
    </row>
    <row r="614">
      <c r="E614" s="46"/>
    </row>
    <row r="615">
      <c r="E615" s="46"/>
    </row>
    <row r="616">
      <c r="E616" s="46"/>
    </row>
    <row r="617">
      <c r="E617" s="46"/>
    </row>
    <row r="618">
      <c r="E618" s="46"/>
    </row>
    <row r="619">
      <c r="E619" s="46"/>
    </row>
    <row r="620">
      <c r="E620" s="46"/>
    </row>
    <row r="621">
      <c r="E621" s="46"/>
    </row>
    <row r="622">
      <c r="E622" s="46"/>
    </row>
    <row r="623">
      <c r="E623" s="46"/>
    </row>
    <row r="624">
      <c r="E624" s="46"/>
    </row>
    <row r="625">
      <c r="E625" s="46"/>
    </row>
    <row r="626">
      <c r="E626" s="46"/>
    </row>
    <row r="627">
      <c r="E627" s="46"/>
    </row>
    <row r="628">
      <c r="E628" s="46"/>
    </row>
    <row r="629">
      <c r="E629" s="46"/>
    </row>
    <row r="630">
      <c r="E630" s="46"/>
    </row>
    <row r="631">
      <c r="E631" s="46"/>
    </row>
    <row r="632">
      <c r="E632" s="46"/>
    </row>
    <row r="633">
      <c r="E633" s="46"/>
    </row>
    <row r="634">
      <c r="E634" s="46"/>
    </row>
    <row r="635">
      <c r="E635" s="46"/>
    </row>
    <row r="636">
      <c r="E636" s="46"/>
    </row>
    <row r="637">
      <c r="E637" s="46"/>
    </row>
    <row r="638">
      <c r="E638" s="46"/>
    </row>
    <row r="639">
      <c r="E639" s="46"/>
    </row>
    <row r="640">
      <c r="E640" s="46"/>
    </row>
    <row r="641">
      <c r="E641" s="46"/>
    </row>
    <row r="642">
      <c r="E642" s="46"/>
    </row>
    <row r="643">
      <c r="E643" s="46"/>
    </row>
    <row r="644">
      <c r="E644" s="46"/>
    </row>
    <row r="645">
      <c r="E645" s="46"/>
    </row>
    <row r="646">
      <c r="E646" s="46"/>
    </row>
    <row r="647">
      <c r="E647" s="46"/>
    </row>
    <row r="648">
      <c r="E648" s="46"/>
    </row>
    <row r="649">
      <c r="E649" s="46"/>
    </row>
    <row r="650">
      <c r="E650" s="46"/>
    </row>
    <row r="651">
      <c r="E651" s="46"/>
    </row>
    <row r="652">
      <c r="E652" s="46"/>
    </row>
    <row r="653">
      <c r="E653" s="46"/>
    </row>
    <row r="654">
      <c r="E654" s="46"/>
    </row>
    <row r="655">
      <c r="E655" s="46"/>
    </row>
    <row r="656">
      <c r="E656" s="46"/>
    </row>
    <row r="657">
      <c r="E657" s="46"/>
    </row>
    <row r="658">
      <c r="E658" s="46"/>
    </row>
    <row r="659">
      <c r="E659" s="46"/>
    </row>
    <row r="660">
      <c r="E660" s="46"/>
    </row>
    <row r="661">
      <c r="E661" s="46"/>
    </row>
    <row r="662">
      <c r="E662" s="46"/>
    </row>
    <row r="663">
      <c r="E663" s="46"/>
    </row>
    <row r="664">
      <c r="E664" s="46"/>
    </row>
    <row r="665">
      <c r="E665" s="46"/>
    </row>
    <row r="666">
      <c r="E666" s="46"/>
    </row>
    <row r="667">
      <c r="E667" s="46"/>
    </row>
    <row r="668">
      <c r="E668" s="46"/>
    </row>
    <row r="669">
      <c r="E669" s="46"/>
    </row>
    <row r="670">
      <c r="E670" s="46"/>
    </row>
    <row r="671">
      <c r="E671" s="46"/>
    </row>
    <row r="672">
      <c r="E672" s="46"/>
    </row>
    <row r="673">
      <c r="E673" s="46"/>
    </row>
    <row r="674">
      <c r="E674" s="46"/>
    </row>
    <row r="675">
      <c r="E675" s="46"/>
    </row>
    <row r="676">
      <c r="E676" s="46"/>
    </row>
    <row r="677">
      <c r="E677" s="46"/>
    </row>
    <row r="678">
      <c r="E678" s="46"/>
    </row>
    <row r="679">
      <c r="E679" s="46"/>
    </row>
    <row r="680">
      <c r="E680" s="46"/>
    </row>
    <row r="681">
      <c r="E681" s="46"/>
    </row>
    <row r="682">
      <c r="E682" s="46"/>
    </row>
    <row r="683">
      <c r="E683" s="46"/>
    </row>
    <row r="684">
      <c r="E684" s="46"/>
    </row>
    <row r="685">
      <c r="E685" s="46"/>
    </row>
    <row r="686">
      <c r="E686" s="46"/>
    </row>
    <row r="687">
      <c r="E687" s="46"/>
    </row>
    <row r="688">
      <c r="E688" s="46"/>
    </row>
    <row r="689">
      <c r="E689" s="46"/>
    </row>
    <row r="690">
      <c r="E690" s="46"/>
    </row>
    <row r="691">
      <c r="E691" s="46"/>
    </row>
    <row r="692">
      <c r="E692" s="46"/>
    </row>
    <row r="693">
      <c r="E693" s="46"/>
    </row>
    <row r="694">
      <c r="E694" s="46"/>
    </row>
    <row r="695">
      <c r="E695" s="46"/>
    </row>
    <row r="696">
      <c r="E696" s="46"/>
    </row>
    <row r="697">
      <c r="E697" s="46"/>
    </row>
    <row r="698">
      <c r="E698" s="46"/>
    </row>
    <row r="699">
      <c r="E699" s="46"/>
    </row>
    <row r="700">
      <c r="E700" s="46"/>
    </row>
    <row r="701">
      <c r="E701" s="46"/>
    </row>
    <row r="702">
      <c r="E702" s="46"/>
    </row>
    <row r="703">
      <c r="E703" s="46"/>
    </row>
    <row r="704">
      <c r="E704" s="46"/>
    </row>
    <row r="705">
      <c r="E705" s="46"/>
    </row>
    <row r="706">
      <c r="E706" s="46"/>
    </row>
    <row r="707">
      <c r="E707" s="46"/>
    </row>
    <row r="708">
      <c r="E708" s="46"/>
    </row>
    <row r="709">
      <c r="E709" s="46"/>
    </row>
    <row r="710">
      <c r="E710" s="46"/>
    </row>
    <row r="711">
      <c r="E711" s="46"/>
    </row>
    <row r="712">
      <c r="E712" s="46"/>
    </row>
    <row r="713">
      <c r="E713" s="46"/>
    </row>
    <row r="714">
      <c r="E714" s="46"/>
    </row>
    <row r="715">
      <c r="E715" s="46"/>
    </row>
    <row r="716">
      <c r="E716" s="46"/>
    </row>
    <row r="717">
      <c r="E717" s="46"/>
    </row>
    <row r="718">
      <c r="E718" s="46"/>
    </row>
    <row r="719">
      <c r="E719" s="46"/>
    </row>
    <row r="720">
      <c r="E720" s="46"/>
    </row>
    <row r="721">
      <c r="E721" s="46"/>
    </row>
    <row r="722">
      <c r="E722" s="46"/>
    </row>
    <row r="723">
      <c r="E723" s="46"/>
    </row>
    <row r="724">
      <c r="E724" s="46"/>
    </row>
    <row r="725">
      <c r="E725" s="46"/>
    </row>
    <row r="726">
      <c r="E726" s="46"/>
    </row>
    <row r="727">
      <c r="E727" s="46"/>
    </row>
    <row r="728">
      <c r="E728" s="46"/>
    </row>
    <row r="729">
      <c r="E729" s="46"/>
    </row>
    <row r="730">
      <c r="E730" s="46"/>
    </row>
    <row r="731">
      <c r="E731" s="46"/>
    </row>
    <row r="732">
      <c r="E732" s="46"/>
    </row>
    <row r="733">
      <c r="E733" s="46"/>
    </row>
    <row r="734">
      <c r="E734" s="46"/>
    </row>
    <row r="735">
      <c r="E735" s="46"/>
    </row>
    <row r="736">
      <c r="E736" s="46"/>
    </row>
    <row r="737">
      <c r="E737" s="46"/>
    </row>
    <row r="738">
      <c r="E738" s="46"/>
    </row>
    <row r="739">
      <c r="E739" s="46"/>
    </row>
    <row r="740">
      <c r="E740" s="46"/>
    </row>
    <row r="741">
      <c r="E741" s="46"/>
    </row>
    <row r="742">
      <c r="E742" s="46"/>
    </row>
    <row r="743">
      <c r="E743" s="46"/>
    </row>
    <row r="744">
      <c r="E744" s="46"/>
    </row>
    <row r="745">
      <c r="E745" s="46"/>
    </row>
    <row r="746">
      <c r="E746" s="46"/>
    </row>
    <row r="747">
      <c r="E747" s="46"/>
    </row>
    <row r="748">
      <c r="E748" s="46"/>
    </row>
    <row r="749">
      <c r="E749" s="46"/>
    </row>
    <row r="750">
      <c r="E750" s="46"/>
    </row>
    <row r="751">
      <c r="E751" s="46"/>
    </row>
    <row r="752">
      <c r="E752" s="46"/>
    </row>
    <row r="753">
      <c r="E753" s="46"/>
    </row>
    <row r="754">
      <c r="E754" s="46"/>
    </row>
    <row r="755">
      <c r="E755" s="46"/>
    </row>
    <row r="756">
      <c r="E756" s="46"/>
    </row>
    <row r="757">
      <c r="E757" s="46"/>
    </row>
    <row r="758">
      <c r="E758" s="46"/>
    </row>
    <row r="759">
      <c r="E759" s="46"/>
    </row>
    <row r="760">
      <c r="E760" s="46"/>
    </row>
    <row r="761">
      <c r="E761" s="46"/>
    </row>
    <row r="762">
      <c r="E762" s="46"/>
    </row>
    <row r="763">
      <c r="E763" s="46"/>
    </row>
    <row r="764">
      <c r="E764" s="46"/>
    </row>
    <row r="765">
      <c r="E765" s="46"/>
    </row>
    <row r="766">
      <c r="E766" s="46"/>
    </row>
    <row r="767">
      <c r="E767" s="46"/>
    </row>
    <row r="768">
      <c r="E768" s="46"/>
    </row>
    <row r="769">
      <c r="E769" s="46"/>
    </row>
    <row r="770">
      <c r="E770" s="46"/>
    </row>
    <row r="771">
      <c r="E771" s="46"/>
    </row>
    <row r="772">
      <c r="E772" s="46"/>
    </row>
    <row r="773">
      <c r="E773" s="46"/>
    </row>
    <row r="774">
      <c r="E774" s="46"/>
    </row>
    <row r="775">
      <c r="E775" s="46"/>
    </row>
    <row r="776">
      <c r="E776" s="46"/>
    </row>
    <row r="777">
      <c r="E777" s="46"/>
    </row>
    <row r="778">
      <c r="E778" s="46"/>
    </row>
    <row r="779">
      <c r="E779" s="46"/>
    </row>
    <row r="780">
      <c r="E780" s="46"/>
    </row>
    <row r="781">
      <c r="E781" s="46"/>
    </row>
    <row r="782">
      <c r="E782" s="46"/>
    </row>
    <row r="783">
      <c r="E783" s="46"/>
    </row>
    <row r="784">
      <c r="E784" s="46"/>
    </row>
    <row r="785">
      <c r="E785" s="46"/>
    </row>
    <row r="786">
      <c r="E786" s="46"/>
    </row>
    <row r="787">
      <c r="E787" s="46"/>
    </row>
    <row r="788">
      <c r="E788" s="46"/>
    </row>
    <row r="789">
      <c r="E789" s="46"/>
    </row>
    <row r="790">
      <c r="E790" s="46"/>
    </row>
    <row r="791">
      <c r="E791" s="46"/>
    </row>
    <row r="792">
      <c r="E792" s="46"/>
    </row>
    <row r="793">
      <c r="E793" s="46"/>
    </row>
    <row r="794">
      <c r="E794" s="46"/>
    </row>
    <row r="795">
      <c r="E795" s="46"/>
    </row>
    <row r="796">
      <c r="E796" s="46"/>
    </row>
    <row r="797">
      <c r="E797" s="46"/>
    </row>
    <row r="798">
      <c r="E798" s="46"/>
    </row>
    <row r="799">
      <c r="E799" s="46"/>
    </row>
    <row r="800">
      <c r="E800" s="46"/>
    </row>
    <row r="801">
      <c r="E801" s="46"/>
    </row>
    <row r="802">
      <c r="E802" s="46"/>
    </row>
    <row r="803">
      <c r="E803" s="46"/>
    </row>
    <row r="804">
      <c r="E804" s="46"/>
    </row>
    <row r="805">
      <c r="E805" s="46"/>
    </row>
    <row r="806">
      <c r="E806" s="46"/>
    </row>
    <row r="807">
      <c r="E807" s="46"/>
    </row>
    <row r="808">
      <c r="E808" s="46"/>
    </row>
    <row r="809">
      <c r="E809" s="46"/>
    </row>
    <row r="810">
      <c r="E810" s="46"/>
    </row>
    <row r="811">
      <c r="E811" s="46"/>
    </row>
    <row r="812">
      <c r="E812" s="46"/>
    </row>
    <row r="813">
      <c r="E813" s="46"/>
    </row>
    <row r="814">
      <c r="E814" s="46"/>
    </row>
    <row r="815">
      <c r="E815" s="46"/>
    </row>
    <row r="816">
      <c r="E816" s="46"/>
    </row>
    <row r="817">
      <c r="E817" s="46"/>
    </row>
    <row r="818">
      <c r="E818" s="46"/>
    </row>
    <row r="819">
      <c r="E819" s="46"/>
    </row>
    <row r="820">
      <c r="E820" s="46"/>
    </row>
    <row r="821">
      <c r="E821" s="46"/>
    </row>
    <row r="822">
      <c r="E822" s="46"/>
    </row>
    <row r="823">
      <c r="E823" s="46"/>
    </row>
    <row r="824">
      <c r="E824" s="46"/>
    </row>
    <row r="825">
      <c r="E825" s="46"/>
    </row>
    <row r="826">
      <c r="E826" s="46"/>
    </row>
    <row r="827">
      <c r="E827" s="46"/>
    </row>
    <row r="828">
      <c r="E828" s="46"/>
    </row>
    <row r="829">
      <c r="E829" s="46"/>
    </row>
    <row r="830">
      <c r="E830" s="46"/>
    </row>
    <row r="831">
      <c r="E831" s="46"/>
    </row>
    <row r="832">
      <c r="E832" s="46"/>
    </row>
    <row r="833">
      <c r="E833" s="46"/>
    </row>
    <row r="834">
      <c r="E834" s="46"/>
    </row>
    <row r="835">
      <c r="E835" s="46"/>
    </row>
    <row r="836">
      <c r="E836" s="46"/>
    </row>
    <row r="837">
      <c r="E837" s="46"/>
    </row>
    <row r="838">
      <c r="E838" s="46"/>
    </row>
    <row r="839">
      <c r="E839" s="46"/>
    </row>
    <row r="840">
      <c r="E840" s="46"/>
    </row>
    <row r="841">
      <c r="E841" s="46"/>
    </row>
    <row r="842">
      <c r="E842" s="46"/>
    </row>
    <row r="843">
      <c r="E843" s="46"/>
    </row>
    <row r="844">
      <c r="E844" s="46"/>
    </row>
    <row r="845">
      <c r="E845" s="46"/>
    </row>
    <row r="846">
      <c r="E846" s="46"/>
    </row>
    <row r="847">
      <c r="E847" s="46"/>
    </row>
    <row r="848">
      <c r="E848" s="46"/>
    </row>
    <row r="849">
      <c r="E849" s="46"/>
    </row>
    <row r="850">
      <c r="E850" s="46"/>
    </row>
    <row r="851">
      <c r="E851" s="46"/>
    </row>
    <row r="852">
      <c r="E852" s="46"/>
    </row>
    <row r="853">
      <c r="E853" s="46"/>
    </row>
    <row r="854">
      <c r="E854" s="46"/>
    </row>
    <row r="855">
      <c r="E855" s="46"/>
    </row>
    <row r="856">
      <c r="E856" s="46"/>
    </row>
    <row r="857">
      <c r="E857" s="46"/>
    </row>
    <row r="858">
      <c r="E858" s="46"/>
    </row>
    <row r="859">
      <c r="E859" s="46"/>
    </row>
    <row r="860">
      <c r="E860" s="46"/>
    </row>
    <row r="861">
      <c r="E861" s="46"/>
    </row>
    <row r="862">
      <c r="E862" s="46"/>
    </row>
    <row r="863">
      <c r="E863" s="46"/>
    </row>
    <row r="864">
      <c r="E864" s="46"/>
    </row>
    <row r="865">
      <c r="E865" s="46"/>
    </row>
    <row r="866">
      <c r="E866" s="46"/>
    </row>
    <row r="867">
      <c r="E867" s="46"/>
    </row>
    <row r="868">
      <c r="E868" s="46"/>
    </row>
    <row r="869">
      <c r="E869" s="46"/>
    </row>
    <row r="870">
      <c r="E870" s="46"/>
    </row>
    <row r="871">
      <c r="E871" s="46"/>
    </row>
    <row r="872">
      <c r="E872" s="46"/>
    </row>
    <row r="873">
      <c r="E873" s="46"/>
    </row>
    <row r="874">
      <c r="E874" s="46"/>
    </row>
    <row r="875">
      <c r="E875" s="46"/>
    </row>
    <row r="876">
      <c r="E876" s="46"/>
    </row>
    <row r="877">
      <c r="E877" s="46"/>
    </row>
    <row r="878">
      <c r="E878" s="46"/>
    </row>
    <row r="879">
      <c r="E879" s="46"/>
    </row>
    <row r="880">
      <c r="E880" s="46"/>
    </row>
    <row r="881">
      <c r="E881" s="46"/>
    </row>
    <row r="882">
      <c r="E882" s="46"/>
    </row>
    <row r="883">
      <c r="E883" s="46"/>
    </row>
    <row r="884">
      <c r="E884" s="46"/>
    </row>
    <row r="885">
      <c r="E885" s="46"/>
    </row>
    <row r="886">
      <c r="E886" s="46"/>
    </row>
    <row r="887">
      <c r="E887" s="46"/>
    </row>
    <row r="888">
      <c r="E888" s="46"/>
    </row>
    <row r="889">
      <c r="E889" s="46"/>
    </row>
    <row r="890">
      <c r="E890" s="46"/>
    </row>
    <row r="891">
      <c r="E891" s="46"/>
    </row>
    <row r="892">
      <c r="E892" s="46"/>
    </row>
    <row r="893">
      <c r="E893" s="46"/>
    </row>
    <row r="894">
      <c r="E894" s="46"/>
    </row>
    <row r="895">
      <c r="E895" s="46"/>
    </row>
    <row r="896">
      <c r="E896" s="46"/>
    </row>
    <row r="897">
      <c r="E897" s="46"/>
    </row>
    <row r="898">
      <c r="E898" s="46"/>
    </row>
    <row r="899">
      <c r="E899" s="46"/>
    </row>
    <row r="900">
      <c r="E900" s="46"/>
    </row>
    <row r="901">
      <c r="E901" s="46"/>
    </row>
    <row r="902">
      <c r="E902" s="46"/>
    </row>
    <row r="903">
      <c r="E903" s="46"/>
    </row>
    <row r="904">
      <c r="E904" s="46"/>
    </row>
    <row r="905">
      <c r="E905" s="46"/>
    </row>
    <row r="906">
      <c r="E906" s="46"/>
    </row>
    <row r="907">
      <c r="E907" s="46"/>
    </row>
    <row r="908">
      <c r="E908" s="46"/>
    </row>
    <row r="909">
      <c r="E909" s="46"/>
    </row>
    <row r="910">
      <c r="E910" s="46"/>
    </row>
    <row r="911">
      <c r="E911" s="46"/>
    </row>
    <row r="912">
      <c r="E912" s="46"/>
    </row>
    <row r="913">
      <c r="E913" s="46"/>
    </row>
    <row r="914">
      <c r="E914" s="46"/>
    </row>
    <row r="915">
      <c r="E915" s="46"/>
    </row>
    <row r="916">
      <c r="E916" s="46"/>
    </row>
    <row r="917">
      <c r="E917" s="46"/>
    </row>
    <row r="918">
      <c r="E918" s="46"/>
    </row>
    <row r="919">
      <c r="E919" s="46"/>
    </row>
    <row r="920">
      <c r="E920" s="46"/>
    </row>
    <row r="921">
      <c r="E921" s="46"/>
    </row>
    <row r="922">
      <c r="E922" s="46"/>
    </row>
    <row r="923">
      <c r="E923" s="46"/>
    </row>
    <row r="924">
      <c r="E924" s="46"/>
    </row>
    <row r="925">
      <c r="E925" s="46"/>
    </row>
    <row r="926">
      <c r="E926" s="46"/>
    </row>
    <row r="927">
      <c r="E927" s="46"/>
    </row>
    <row r="928">
      <c r="E928" s="46"/>
    </row>
    <row r="929">
      <c r="E929" s="46"/>
    </row>
    <row r="930">
      <c r="E930" s="46"/>
    </row>
    <row r="931">
      <c r="E931" s="46"/>
    </row>
    <row r="932">
      <c r="E932" s="46"/>
    </row>
    <row r="933">
      <c r="E933" s="46"/>
    </row>
    <row r="934">
      <c r="E934" s="46"/>
    </row>
    <row r="935">
      <c r="E935" s="46"/>
    </row>
    <row r="936">
      <c r="E936" s="46"/>
    </row>
    <row r="937">
      <c r="E937" s="46"/>
    </row>
    <row r="938">
      <c r="E938" s="46"/>
    </row>
    <row r="939">
      <c r="E939" s="46"/>
    </row>
    <row r="940">
      <c r="E940" s="46"/>
    </row>
    <row r="941">
      <c r="E941" s="46"/>
    </row>
    <row r="942">
      <c r="E942" s="46"/>
    </row>
    <row r="943">
      <c r="E943" s="46"/>
    </row>
    <row r="944">
      <c r="E944" s="46"/>
    </row>
    <row r="945">
      <c r="E945" s="46"/>
    </row>
    <row r="946">
      <c r="E946" s="46"/>
    </row>
    <row r="947">
      <c r="E947" s="46"/>
    </row>
    <row r="948">
      <c r="E948" s="46"/>
    </row>
    <row r="949">
      <c r="E949" s="46"/>
    </row>
    <row r="950">
      <c r="E950" s="46"/>
    </row>
    <row r="951">
      <c r="E951" s="46"/>
    </row>
    <row r="952">
      <c r="E952" s="46"/>
    </row>
    <row r="953">
      <c r="E953" s="46"/>
    </row>
    <row r="954">
      <c r="E954" s="46"/>
    </row>
    <row r="955">
      <c r="E955" s="46"/>
    </row>
    <row r="956">
      <c r="E956" s="46"/>
    </row>
    <row r="957">
      <c r="E957" s="46"/>
    </row>
    <row r="958">
      <c r="E958" s="46"/>
    </row>
    <row r="959">
      <c r="E959" s="46"/>
    </row>
    <row r="960">
      <c r="E960" s="46"/>
    </row>
    <row r="961">
      <c r="E961" s="46"/>
    </row>
    <row r="962">
      <c r="E962" s="46"/>
    </row>
    <row r="963">
      <c r="E963" s="46"/>
    </row>
    <row r="964">
      <c r="E964" s="46"/>
    </row>
    <row r="965">
      <c r="E965" s="46"/>
    </row>
    <row r="966">
      <c r="E966" s="46"/>
    </row>
    <row r="967">
      <c r="E967" s="46"/>
    </row>
    <row r="968">
      <c r="E968" s="46"/>
    </row>
    <row r="969">
      <c r="E969" s="46"/>
    </row>
    <row r="970">
      <c r="E970" s="46"/>
    </row>
    <row r="971">
      <c r="E971" s="46"/>
    </row>
    <row r="972">
      <c r="E972" s="46"/>
    </row>
    <row r="973">
      <c r="E973" s="46"/>
    </row>
    <row r="974">
      <c r="E974" s="46"/>
    </row>
    <row r="975">
      <c r="E975" s="46"/>
    </row>
    <row r="976">
      <c r="E976" s="46"/>
    </row>
    <row r="977">
      <c r="E977" s="46"/>
    </row>
    <row r="978">
      <c r="E978" s="46"/>
    </row>
    <row r="979">
      <c r="E979" s="46"/>
    </row>
    <row r="980">
      <c r="E980" s="46"/>
    </row>
    <row r="981">
      <c r="E981" s="46"/>
    </row>
    <row r="982">
      <c r="E982" s="46"/>
    </row>
    <row r="983">
      <c r="E983" s="46"/>
    </row>
    <row r="984">
      <c r="E984" s="46"/>
    </row>
    <row r="985">
      <c r="E985" s="46"/>
    </row>
    <row r="986">
      <c r="E986" s="46"/>
    </row>
    <row r="987">
      <c r="E987" s="46"/>
    </row>
    <row r="988">
      <c r="E988" s="46"/>
    </row>
    <row r="989">
      <c r="E989" s="46"/>
    </row>
    <row r="990">
      <c r="E990" s="46"/>
    </row>
    <row r="991">
      <c r="E991" s="46"/>
    </row>
    <row r="992">
      <c r="E992" s="46"/>
    </row>
    <row r="993">
      <c r="E993" s="46"/>
    </row>
    <row r="994">
      <c r="E994" s="46"/>
    </row>
    <row r="995">
      <c r="E995" s="46"/>
    </row>
    <row r="996">
      <c r="E996" s="46"/>
    </row>
    <row r="997">
      <c r="E997" s="46"/>
    </row>
    <row r="998">
      <c r="E998" s="46"/>
    </row>
    <row r="999">
      <c r="E999" s="46"/>
    </row>
  </sheetData>
  <mergeCells count="1">
    <mergeCell ref="D1:E1"/>
  </mergeCells>
  <conditionalFormatting sqref="D3:D40">
    <cfRule type="cellIs" dxfId="7" priority="1" operator="greaterThan">
      <formula>0</formula>
    </cfRule>
  </conditionalFormatting>
  <conditionalFormatting sqref="D3:D40">
    <cfRule type="cellIs" dxfId="8" priority="2" operator="lessThan">
      <formula>0</formula>
    </cfRule>
  </conditionalFormatting>
  <dataValidations>
    <dataValidation type="list" allowBlank="1" showErrorMessage="1" sqref="D1">
      <formula1>Validation!$A$1:$A$17</formula1>
    </dataValidation>
    <dataValidation type="custom" allowBlank="1" showDropDown="1" sqref="D3:D40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86"/>
    <col customWidth="1" min="2" max="2" width="14.14"/>
    <col customWidth="1" min="3" max="3" width="14.29"/>
    <col customWidth="1" min="4" max="4" width="18.43"/>
    <col customWidth="1" min="5" max="5" width="24.57"/>
    <col customWidth="1" min="6" max="6" width="18.86"/>
    <col customWidth="1" min="7" max="7" width="7.71"/>
    <col customWidth="1" min="8" max="8" width="7.57"/>
    <col customWidth="1" min="9" max="10" width="7.71"/>
    <col customWidth="1" min="11" max="22" width="8.71"/>
    <col customWidth="1" min="23" max="24" width="7.71"/>
    <col customWidth="1" min="25" max="37" width="8.71"/>
  </cols>
  <sheetData>
    <row r="1" ht="22.5" customHeight="1">
      <c r="A1" s="23" t="s">
        <v>45</v>
      </c>
      <c r="B1" s="55" t="s">
        <v>50</v>
      </c>
      <c r="C1" s="56" t="s">
        <v>51</v>
      </c>
      <c r="D1" s="55" t="s">
        <v>52</v>
      </c>
      <c r="E1" s="24" t="s">
        <v>46</v>
      </c>
      <c r="F1" s="24" t="s">
        <v>0</v>
      </c>
      <c r="G1" s="26" t="s">
        <v>53</v>
      </c>
      <c r="H1" s="26" t="s">
        <v>2</v>
      </c>
      <c r="I1" s="27" t="s">
        <v>3</v>
      </c>
      <c r="J1" s="27" t="s">
        <v>4</v>
      </c>
      <c r="K1" s="26" t="s">
        <v>5</v>
      </c>
      <c r="L1" s="27" t="s">
        <v>6</v>
      </c>
      <c r="M1" s="27" t="s">
        <v>7</v>
      </c>
      <c r="N1" s="27" t="s">
        <v>8</v>
      </c>
      <c r="O1" s="26" t="s">
        <v>9</v>
      </c>
      <c r="P1" s="27" t="s">
        <v>10</v>
      </c>
      <c r="Q1" s="27" t="s">
        <v>11</v>
      </c>
      <c r="R1" s="27" t="s">
        <v>12</v>
      </c>
      <c r="S1" s="27" t="s">
        <v>13</v>
      </c>
      <c r="T1" s="25" t="s">
        <v>14</v>
      </c>
      <c r="U1" s="27" t="s">
        <v>16</v>
      </c>
      <c r="V1" s="27" t="s">
        <v>17</v>
      </c>
      <c r="W1" s="26" t="s">
        <v>19</v>
      </c>
      <c r="X1" s="26" t="s">
        <v>20</v>
      </c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</row>
    <row r="2" ht="22.5" customHeight="1">
      <c r="A2" s="58">
        <v>1.0</v>
      </c>
      <c r="B2" s="59">
        <v>45779.0</v>
      </c>
      <c r="C2" s="60">
        <v>0.8333333333333334</v>
      </c>
      <c r="D2" s="61" t="s">
        <v>54</v>
      </c>
      <c r="E2" s="62" t="s">
        <v>55</v>
      </c>
      <c r="F2" s="62" t="s">
        <v>28</v>
      </c>
      <c r="G2" s="63">
        <v>1.0</v>
      </c>
      <c r="H2" s="64">
        <f t="shared" ref="H2:H13" si="1">SUM(K2:V2)</f>
        <v>3</v>
      </c>
      <c r="I2" s="65">
        <f t="shared" ref="I2:I13" si="2">SUM(K2:P2,S2:V2)</f>
        <v>3</v>
      </c>
      <c r="J2" s="66">
        <f t="shared" ref="J2:J13" si="3">SUM(K2:O2)</f>
        <v>1</v>
      </c>
      <c r="K2" s="64">
        <v>1.0</v>
      </c>
      <c r="L2" s="65">
        <v>0.0</v>
      </c>
      <c r="M2" s="65">
        <v>0.0</v>
      </c>
      <c r="N2" s="65">
        <v>0.0</v>
      </c>
      <c r="O2" s="63">
        <v>0.0</v>
      </c>
      <c r="P2" s="65">
        <v>0.0</v>
      </c>
      <c r="Q2" s="65">
        <v>0.0</v>
      </c>
      <c r="R2" s="65">
        <v>0.0</v>
      </c>
      <c r="S2" s="65">
        <v>0.0</v>
      </c>
      <c r="T2" s="65">
        <v>0.0</v>
      </c>
      <c r="U2" s="65">
        <v>1.0</v>
      </c>
      <c r="V2" s="65">
        <v>1.0</v>
      </c>
      <c r="W2" s="65">
        <v>1.0</v>
      </c>
      <c r="X2" s="67">
        <v>0.0</v>
      </c>
    </row>
    <row r="3" ht="22.5" customHeight="1">
      <c r="A3" s="68">
        <v>1.0</v>
      </c>
      <c r="B3" s="69">
        <v>45779.0</v>
      </c>
      <c r="C3" s="70">
        <v>0.8333333333333334</v>
      </c>
      <c r="D3" s="71" t="s">
        <v>54</v>
      </c>
      <c r="E3" s="72" t="s">
        <v>55</v>
      </c>
      <c r="F3" s="72" t="s">
        <v>26</v>
      </c>
      <c r="G3" s="73">
        <v>2.0</v>
      </c>
      <c r="H3" s="74">
        <f t="shared" si="1"/>
        <v>3</v>
      </c>
      <c r="I3" s="66">
        <f t="shared" si="2"/>
        <v>3</v>
      </c>
      <c r="J3" s="66">
        <f t="shared" si="3"/>
        <v>2</v>
      </c>
      <c r="K3" s="74">
        <v>1.0</v>
      </c>
      <c r="L3" s="66">
        <v>1.0</v>
      </c>
      <c r="M3" s="66">
        <v>0.0</v>
      </c>
      <c r="N3" s="66">
        <v>0.0</v>
      </c>
      <c r="O3" s="73">
        <v>0.0</v>
      </c>
      <c r="P3" s="66">
        <v>0.0</v>
      </c>
      <c r="Q3" s="66">
        <v>0.0</v>
      </c>
      <c r="R3" s="66">
        <v>0.0</v>
      </c>
      <c r="S3" s="66">
        <v>0.0</v>
      </c>
      <c r="T3" s="66">
        <v>0.0</v>
      </c>
      <c r="U3" s="66">
        <v>1.0</v>
      </c>
      <c r="V3" s="66">
        <v>0.0</v>
      </c>
      <c r="W3" s="66">
        <v>0.0</v>
      </c>
      <c r="X3" s="75">
        <v>0.0</v>
      </c>
    </row>
    <row r="4" ht="22.5" customHeight="1">
      <c r="A4" s="68">
        <v>1.0</v>
      </c>
      <c r="B4" s="69">
        <v>45779.0</v>
      </c>
      <c r="C4" s="70">
        <v>0.8333333333333334</v>
      </c>
      <c r="D4" s="71" t="s">
        <v>54</v>
      </c>
      <c r="E4" s="72" t="s">
        <v>55</v>
      </c>
      <c r="F4" s="72" t="s">
        <v>32</v>
      </c>
      <c r="G4" s="73">
        <v>3.0</v>
      </c>
      <c r="H4" s="74">
        <f t="shared" si="1"/>
        <v>3</v>
      </c>
      <c r="I4" s="66">
        <f t="shared" si="2"/>
        <v>3</v>
      </c>
      <c r="J4" s="66">
        <f t="shared" si="3"/>
        <v>1</v>
      </c>
      <c r="K4" s="74">
        <v>0.0</v>
      </c>
      <c r="L4" s="66">
        <v>0.0</v>
      </c>
      <c r="M4" s="66">
        <v>1.0</v>
      </c>
      <c r="N4" s="66">
        <v>0.0</v>
      </c>
      <c r="O4" s="66">
        <v>0.0</v>
      </c>
      <c r="P4" s="66">
        <v>1.0</v>
      </c>
      <c r="Q4" s="66">
        <v>0.0</v>
      </c>
      <c r="R4" s="66">
        <v>0.0</v>
      </c>
      <c r="S4" s="66">
        <v>0.0</v>
      </c>
      <c r="T4" s="66">
        <v>0.0</v>
      </c>
      <c r="U4" s="66">
        <v>0.0</v>
      </c>
      <c r="V4" s="66">
        <v>1.0</v>
      </c>
      <c r="W4" s="66">
        <v>2.0</v>
      </c>
      <c r="X4" s="75">
        <v>1.0</v>
      </c>
    </row>
    <row r="5" ht="22.5" customHeight="1">
      <c r="A5" s="68">
        <v>1.0</v>
      </c>
      <c r="B5" s="69">
        <v>45779.0</v>
      </c>
      <c r="C5" s="70">
        <v>0.8333333333333334</v>
      </c>
      <c r="D5" s="71" t="s">
        <v>54</v>
      </c>
      <c r="E5" s="72" t="s">
        <v>55</v>
      </c>
      <c r="F5" s="72" t="s">
        <v>35</v>
      </c>
      <c r="G5" s="73">
        <v>4.0</v>
      </c>
      <c r="H5" s="74">
        <f t="shared" si="1"/>
        <v>3</v>
      </c>
      <c r="I5" s="66">
        <f t="shared" si="2"/>
        <v>3</v>
      </c>
      <c r="J5" s="66">
        <f t="shared" si="3"/>
        <v>2</v>
      </c>
      <c r="K5" s="74">
        <v>2.0</v>
      </c>
      <c r="L5" s="66">
        <v>0.0</v>
      </c>
      <c r="M5" s="66">
        <v>0.0</v>
      </c>
      <c r="N5" s="66">
        <v>0.0</v>
      </c>
      <c r="O5" s="66">
        <v>0.0</v>
      </c>
      <c r="P5" s="66">
        <v>0.0</v>
      </c>
      <c r="Q5" s="66">
        <v>0.0</v>
      </c>
      <c r="R5" s="66">
        <v>0.0</v>
      </c>
      <c r="S5" s="66">
        <v>0.0</v>
      </c>
      <c r="T5" s="66">
        <v>0.0</v>
      </c>
      <c r="U5" s="66">
        <v>1.0</v>
      </c>
      <c r="V5" s="66">
        <v>0.0</v>
      </c>
      <c r="W5" s="66">
        <v>1.0</v>
      </c>
      <c r="X5" s="75">
        <v>2.0</v>
      </c>
    </row>
    <row r="6" ht="22.5" customHeight="1">
      <c r="A6" s="68">
        <v>1.0</v>
      </c>
      <c r="B6" s="69">
        <v>45779.0</v>
      </c>
      <c r="C6" s="70">
        <v>0.8333333333333334</v>
      </c>
      <c r="D6" s="71" t="s">
        <v>54</v>
      </c>
      <c r="E6" s="72" t="s">
        <v>55</v>
      </c>
      <c r="F6" s="72" t="s">
        <v>34</v>
      </c>
      <c r="G6" s="73">
        <v>5.0</v>
      </c>
      <c r="H6" s="74">
        <f t="shared" si="1"/>
        <v>3</v>
      </c>
      <c r="I6" s="66">
        <f t="shared" si="2"/>
        <v>3</v>
      </c>
      <c r="J6" s="66">
        <f t="shared" si="3"/>
        <v>2</v>
      </c>
      <c r="K6" s="74">
        <v>2.0</v>
      </c>
      <c r="L6" s="66">
        <v>0.0</v>
      </c>
      <c r="M6" s="66">
        <v>0.0</v>
      </c>
      <c r="N6" s="66">
        <v>0.0</v>
      </c>
      <c r="O6" s="66">
        <v>0.0</v>
      </c>
      <c r="P6" s="66">
        <v>0.0</v>
      </c>
      <c r="Q6" s="66">
        <v>0.0</v>
      </c>
      <c r="R6" s="66">
        <v>0.0</v>
      </c>
      <c r="S6" s="66">
        <v>0.0</v>
      </c>
      <c r="T6" s="66">
        <v>0.0</v>
      </c>
      <c r="U6" s="66">
        <v>1.0</v>
      </c>
      <c r="V6" s="66">
        <v>0.0</v>
      </c>
      <c r="W6" s="66">
        <v>0.0</v>
      </c>
      <c r="X6" s="75">
        <v>0.0</v>
      </c>
    </row>
    <row r="7" ht="22.5" customHeight="1">
      <c r="A7" s="68">
        <v>1.0</v>
      </c>
      <c r="B7" s="69">
        <v>45779.0</v>
      </c>
      <c r="C7" s="70">
        <v>0.8333333333333334</v>
      </c>
      <c r="D7" s="71" t="s">
        <v>54</v>
      </c>
      <c r="E7" s="72" t="s">
        <v>55</v>
      </c>
      <c r="F7" s="72" t="s">
        <v>33</v>
      </c>
      <c r="G7" s="73">
        <v>6.0</v>
      </c>
      <c r="H7" s="74">
        <f t="shared" si="1"/>
        <v>3</v>
      </c>
      <c r="I7" s="66">
        <f t="shared" si="2"/>
        <v>3</v>
      </c>
      <c r="J7" s="66">
        <f t="shared" si="3"/>
        <v>2</v>
      </c>
      <c r="K7" s="74">
        <v>1.0</v>
      </c>
      <c r="L7" s="66">
        <v>1.0</v>
      </c>
      <c r="M7" s="66">
        <v>0.0</v>
      </c>
      <c r="N7" s="66">
        <v>0.0</v>
      </c>
      <c r="O7" s="66">
        <v>0.0</v>
      </c>
      <c r="P7" s="66">
        <v>0.0</v>
      </c>
      <c r="Q7" s="66">
        <v>0.0</v>
      </c>
      <c r="R7" s="66">
        <v>0.0</v>
      </c>
      <c r="S7" s="66">
        <v>0.0</v>
      </c>
      <c r="T7" s="66">
        <v>0.0</v>
      </c>
      <c r="U7" s="66">
        <v>0.0</v>
      </c>
      <c r="V7" s="66">
        <v>1.0</v>
      </c>
      <c r="W7" s="66">
        <v>0.0</v>
      </c>
      <c r="X7" s="75">
        <v>1.0</v>
      </c>
    </row>
    <row r="8" ht="22.5" customHeight="1">
      <c r="A8" s="68">
        <v>1.0</v>
      </c>
      <c r="B8" s="69">
        <v>45779.0</v>
      </c>
      <c r="C8" s="70">
        <v>0.8333333333333334</v>
      </c>
      <c r="D8" s="71" t="s">
        <v>54</v>
      </c>
      <c r="E8" s="72" t="s">
        <v>55</v>
      </c>
      <c r="F8" s="72" t="s">
        <v>36</v>
      </c>
      <c r="G8" s="73">
        <v>7.0</v>
      </c>
      <c r="H8" s="74">
        <f t="shared" si="1"/>
        <v>3</v>
      </c>
      <c r="I8" s="66">
        <f t="shared" si="2"/>
        <v>3</v>
      </c>
      <c r="J8" s="66">
        <f t="shared" si="3"/>
        <v>0</v>
      </c>
      <c r="K8" s="74">
        <v>0.0</v>
      </c>
      <c r="L8" s="66">
        <v>0.0</v>
      </c>
      <c r="M8" s="66">
        <v>0.0</v>
      </c>
      <c r="N8" s="66">
        <v>0.0</v>
      </c>
      <c r="O8" s="66">
        <v>0.0</v>
      </c>
      <c r="P8" s="66">
        <v>0.0</v>
      </c>
      <c r="Q8" s="66">
        <v>0.0</v>
      </c>
      <c r="R8" s="66">
        <v>0.0</v>
      </c>
      <c r="S8" s="66">
        <v>0.0</v>
      </c>
      <c r="T8" s="66">
        <v>0.0</v>
      </c>
      <c r="U8" s="66">
        <v>0.0</v>
      </c>
      <c r="V8" s="66">
        <v>3.0</v>
      </c>
      <c r="W8" s="66">
        <v>0.0</v>
      </c>
      <c r="X8" s="75">
        <v>0.0</v>
      </c>
    </row>
    <row r="9" ht="22.5" customHeight="1">
      <c r="A9" s="68">
        <v>1.0</v>
      </c>
      <c r="B9" s="69">
        <v>45779.0</v>
      </c>
      <c r="C9" s="70">
        <v>0.8333333333333334</v>
      </c>
      <c r="D9" s="71" t="s">
        <v>54</v>
      </c>
      <c r="E9" s="72" t="s">
        <v>55</v>
      </c>
      <c r="F9" s="76" t="s">
        <v>31</v>
      </c>
      <c r="G9" s="73">
        <v>8.0</v>
      </c>
      <c r="H9" s="74">
        <f t="shared" si="1"/>
        <v>2</v>
      </c>
      <c r="I9" s="66">
        <f t="shared" si="2"/>
        <v>2</v>
      </c>
      <c r="J9" s="66">
        <f t="shared" si="3"/>
        <v>0</v>
      </c>
      <c r="K9" s="74">
        <v>0.0</v>
      </c>
      <c r="L9" s="66">
        <v>0.0</v>
      </c>
      <c r="M9" s="66">
        <v>0.0</v>
      </c>
      <c r="N9" s="66">
        <v>0.0</v>
      </c>
      <c r="O9" s="66">
        <v>0.0</v>
      </c>
      <c r="P9" s="66">
        <v>0.0</v>
      </c>
      <c r="Q9" s="66">
        <v>0.0</v>
      </c>
      <c r="R9" s="66">
        <v>0.0</v>
      </c>
      <c r="S9" s="66">
        <v>0.0</v>
      </c>
      <c r="T9" s="66">
        <v>0.0</v>
      </c>
      <c r="U9" s="66">
        <v>0.0</v>
      </c>
      <c r="V9" s="66">
        <v>2.0</v>
      </c>
      <c r="W9" s="66">
        <v>0.0</v>
      </c>
      <c r="X9" s="75">
        <v>0.0</v>
      </c>
    </row>
    <row r="10" ht="22.5" customHeight="1">
      <c r="A10" s="68">
        <v>1.0</v>
      </c>
      <c r="B10" s="69">
        <v>45779.0</v>
      </c>
      <c r="C10" s="70">
        <v>0.8333333333333334</v>
      </c>
      <c r="D10" s="71" t="s">
        <v>54</v>
      </c>
      <c r="E10" s="72" t="s">
        <v>55</v>
      </c>
      <c r="F10" s="72" t="s">
        <v>29</v>
      </c>
      <c r="G10" s="73">
        <v>9.0</v>
      </c>
      <c r="H10" s="74">
        <f t="shared" si="1"/>
        <v>2</v>
      </c>
      <c r="I10" s="66">
        <f t="shared" si="2"/>
        <v>2</v>
      </c>
      <c r="J10" s="66">
        <f t="shared" si="3"/>
        <v>1</v>
      </c>
      <c r="K10" s="74">
        <v>1.0</v>
      </c>
      <c r="L10" s="66">
        <v>0.0</v>
      </c>
      <c r="M10" s="66">
        <v>0.0</v>
      </c>
      <c r="N10" s="66">
        <v>0.0</v>
      </c>
      <c r="O10" s="66">
        <v>0.0</v>
      </c>
      <c r="P10" s="66">
        <v>0.0</v>
      </c>
      <c r="Q10" s="66">
        <v>0.0</v>
      </c>
      <c r="R10" s="66">
        <v>0.0</v>
      </c>
      <c r="S10" s="66">
        <v>0.0</v>
      </c>
      <c r="T10" s="66">
        <v>0.0</v>
      </c>
      <c r="U10" s="66">
        <v>1.0</v>
      </c>
      <c r="V10" s="66">
        <v>0.0</v>
      </c>
      <c r="W10" s="66">
        <v>0.0</v>
      </c>
      <c r="X10" s="75">
        <v>0.0</v>
      </c>
    </row>
    <row r="11" ht="22.5" customHeight="1">
      <c r="A11" s="68">
        <v>1.0</v>
      </c>
      <c r="B11" s="69">
        <v>45779.0</v>
      </c>
      <c r="C11" s="70">
        <v>0.8333333333333334</v>
      </c>
      <c r="D11" s="71" t="s">
        <v>54</v>
      </c>
      <c r="E11" s="72" t="s">
        <v>55</v>
      </c>
      <c r="F11" s="72" t="s">
        <v>40</v>
      </c>
      <c r="G11" s="73">
        <v>10.0</v>
      </c>
      <c r="H11" s="74">
        <f t="shared" si="1"/>
        <v>2</v>
      </c>
      <c r="I11" s="66">
        <f t="shared" si="2"/>
        <v>2</v>
      </c>
      <c r="J11" s="66">
        <f t="shared" si="3"/>
        <v>0</v>
      </c>
      <c r="K11" s="74">
        <v>0.0</v>
      </c>
      <c r="L11" s="66">
        <v>0.0</v>
      </c>
      <c r="M11" s="66">
        <v>0.0</v>
      </c>
      <c r="N11" s="66">
        <v>0.0</v>
      </c>
      <c r="O11" s="66">
        <v>0.0</v>
      </c>
      <c r="P11" s="66">
        <v>0.0</v>
      </c>
      <c r="Q11" s="66">
        <v>0.0</v>
      </c>
      <c r="R11" s="66">
        <v>0.0</v>
      </c>
      <c r="S11" s="66">
        <v>0.0</v>
      </c>
      <c r="T11" s="66">
        <v>0.0</v>
      </c>
      <c r="U11" s="66">
        <v>1.0</v>
      </c>
      <c r="V11" s="66">
        <v>1.0</v>
      </c>
      <c r="W11" s="66">
        <v>0.0</v>
      </c>
      <c r="X11" s="75">
        <v>0.0</v>
      </c>
    </row>
    <row r="12" ht="22.5" customHeight="1">
      <c r="A12" s="68">
        <v>1.0</v>
      </c>
      <c r="B12" s="69">
        <v>45779.0</v>
      </c>
      <c r="C12" s="70">
        <v>0.8333333333333334</v>
      </c>
      <c r="D12" s="71" t="s">
        <v>54</v>
      </c>
      <c r="E12" s="72" t="s">
        <v>55</v>
      </c>
      <c r="F12" s="72" t="s">
        <v>39</v>
      </c>
      <c r="G12" s="73">
        <v>11.0</v>
      </c>
      <c r="H12" s="74">
        <f t="shared" si="1"/>
        <v>2</v>
      </c>
      <c r="I12" s="66">
        <f t="shared" si="2"/>
        <v>2</v>
      </c>
      <c r="J12" s="66">
        <f t="shared" si="3"/>
        <v>0</v>
      </c>
      <c r="K12" s="74">
        <v>0.0</v>
      </c>
      <c r="L12" s="66">
        <v>0.0</v>
      </c>
      <c r="M12" s="66">
        <v>0.0</v>
      </c>
      <c r="N12" s="66">
        <v>0.0</v>
      </c>
      <c r="O12" s="66">
        <v>0.0</v>
      </c>
      <c r="P12" s="66">
        <v>0.0</v>
      </c>
      <c r="Q12" s="66">
        <v>0.0</v>
      </c>
      <c r="R12" s="66">
        <v>0.0</v>
      </c>
      <c r="S12" s="66">
        <v>0.0</v>
      </c>
      <c r="T12" s="66">
        <v>0.0</v>
      </c>
      <c r="U12" s="66">
        <v>1.0</v>
      </c>
      <c r="V12" s="66">
        <v>1.0</v>
      </c>
      <c r="W12" s="66">
        <v>0.0</v>
      </c>
      <c r="X12" s="75">
        <v>0.0</v>
      </c>
    </row>
    <row r="13" ht="22.5" customHeight="1">
      <c r="A13" s="68">
        <v>1.0</v>
      </c>
      <c r="B13" s="69">
        <v>45779.0</v>
      </c>
      <c r="C13" s="70">
        <v>0.8333333333333334</v>
      </c>
      <c r="D13" s="71" t="s">
        <v>54</v>
      </c>
      <c r="E13" s="72" t="s">
        <v>55</v>
      </c>
      <c r="F13" s="72" t="s">
        <v>38</v>
      </c>
      <c r="G13" s="73">
        <v>12.0</v>
      </c>
      <c r="H13" s="74">
        <f t="shared" si="1"/>
        <v>2</v>
      </c>
      <c r="I13" s="66">
        <f t="shared" si="2"/>
        <v>2</v>
      </c>
      <c r="J13" s="66">
        <f t="shared" si="3"/>
        <v>0</v>
      </c>
      <c r="K13" s="74">
        <v>0.0</v>
      </c>
      <c r="L13" s="66">
        <v>0.0</v>
      </c>
      <c r="M13" s="66">
        <v>0.0</v>
      </c>
      <c r="N13" s="66">
        <v>0.0</v>
      </c>
      <c r="O13" s="66">
        <v>0.0</v>
      </c>
      <c r="P13" s="66">
        <v>0.0</v>
      </c>
      <c r="Q13" s="66">
        <v>0.0</v>
      </c>
      <c r="R13" s="66">
        <v>0.0</v>
      </c>
      <c r="S13" s="66">
        <v>0.0</v>
      </c>
      <c r="T13" s="66">
        <v>0.0</v>
      </c>
      <c r="U13" s="66">
        <v>2.0</v>
      </c>
      <c r="V13" s="66">
        <v>0.0</v>
      </c>
      <c r="W13" s="66">
        <v>0.0</v>
      </c>
      <c r="X13" s="75">
        <v>0.0</v>
      </c>
    </row>
    <row r="14" ht="22.5" customHeight="1">
      <c r="A14" s="77">
        <v>1.0</v>
      </c>
      <c r="B14" s="78">
        <v>45779.0</v>
      </c>
      <c r="C14" s="79">
        <v>0.8333333333333334</v>
      </c>
      <c r="D14" s="80" t="s">
        <v>54</v>
      </c>
      <c r="E14" s="81" t="s">
        <v>55</v>
      </c>
      <c r="F14" s="81" t="s">
        <v>44</v>
      </c>
      <c r="G14" s="82"/>
      <c r="H14" s="83">
        <f t="shared" ref="H14:X14" si="4">SUBTOTAL(109,H2:H13)</f>
        <v>31</v>
      </c>
      <c r="I14" s="84">
        <f t="shared" si="4"/>
        <v>31</v>
      </c>
      <c r="J14" s="84">
        <f t="shared" si="4"/>
        <v>11</v>
      </c>
      <c r="K14" s="83">
        <f t="shared" si="4"/>
        <v>8</v>
      </c>
      <c r="L14" s="84">
        <f t="shared" si="4"/>
        <v>2</v>
      </c>
      <c r="M14" s="84">
        <f t="shared" si="4"/>
        <v>1</v>
      </c>
      <c r="N14" s="84">
        <f t="shared" si="4"/>
        <v>0</v>
      </c>
      <c r="O14" s="84">
        <f t="shared" si="4"/>
        <v>0</v>
      </c>
      <c r="P14" s="84">
        <f t="shared" si="4"/>
        <v>1</v>
      </c>
      <c r="Q14" s="84">
        <f t="shared" si="4"/>
        <v>0</v>
      </c>
      <c r="R14" s="84">
        <f t="shared" si="4"/>
        <v>0</v>
      </c>
      <c r="S14" s="84">
        <f t="shared" si="4"/>
        <v>0</v>
      </c>
      <c r="T14" s="84">
        <f t="shared" si="4"/>
        <v>0</v>
      </c>
      <c r="U14" s="84">
        <f t="shared" si="4"/>
        <v>9</v>
      </c>
      <c r="V14" s="84">
        <f t="shared" si="4"/>
        <v>10</v>
      </c>
      <c r="W14" s="84">
        <f t="shared" si="4"/>
        <v>4</v>
      </c>
      <c r="X14" s="85">
        <f t="shared" si="4"/>
        <v>4</v>
      </c>
    </row>
    <row r="15" ht="15.75" customHeight="1">
      <c r="A15" s="58">
        <v>2.0</v>
      </c>
      <c r="B15" s="59">
        <v>45779.0</v>
      </c>
      <c r="C15" s="86">
        <v>0.8958333333333334</v>
      </c>
      <c r="D15" s="62" t="s">
        <v>54</v>
      </c>
      <c r="E15" s="62" t="s">
        <v>55</v>
      </c>
      <c r="F15" s="62" t="s">
        <v>28</v>
      </c>
      <c r="G15" s="63">
        <v>1.0</v>
      </c>
      <c r="H15" s="64">
        <f t="shared" ref="H15:H26" si="5">SUM(K15:V15)</f>
        <v>4</v>
      </c>
      <c r="I15" s="65">
        <f t="shared" ref="I15:I26" si="6">SUM(K15:P15,S15:V15)</f>
        <v>4</v>
      </c>
      <c r="J15" s="65">
        <f t="shared" ref="J15:J26" si="7">SUM(K15:O15)</f>
        <v>2</v>
      </c>
      <c r="K15" s="64">
        <v>1.0</v>
      </c>
      <c r="L15" s="65">
        <v>1.0</v>
      </c>
      <c r="M15" s="65">
        <v>0.0</v>
      </c>
      <c r="N15" s="65">
        <v>0.0</v>
      </c>
      <c r="O15" s="65">
        <v>0.0</v>
      </c>
      <c r="P15" s="65">
        <v>0.0</v>
      </c>
      <c r="Q15" s="65">
        <v>0.0</v>
      </c>
      <c r="R15" s="65">
        <v>0.0</v>
      </c>
      <c r="S15" s="65">
        <v>0.0</v>
      </c>
      <c r="T15" s="65">
        <v>0.0</v>
      </c>
      <c r="U15" s="65">
        <v>0.0</v>
      </c>
      <c r="V15" s="65">
        <v>2.0</v>
      </c>
      <c r="W15" s="65">
        <v>2.0</v>
      </c>
      <c r="X15" s="67">
        <v>1.0</v>
      </c>
    </row>
    <row r="16" ht="15.75" customHeight="1">
      <c r="A16" s="68">
        <v>2.0</v>
      </c>
      <c r="B16" s="69">
        <v>45779.0</v>
      </c>
      <c r="C16" s="87">
        <v>0.8958333333333334</v>
      </c>
      <c r="D16" s="72" t="s">
        <v>54</v>
      </c>
      <c r="E16" s="72" t="s">
        <v>55</v>
      </c>
      <c r="F16" s="72" t="s">
        <v>26</v>
      </c>
      <c r="G16" s="73">
        <v>2.0</v>
      </c>
      <c r="H16" s="74">
        <f t="shared" si="5"/>
        <v>4</v>
      </c>
      <c r="I16" s="66">
        <f t="shared" si="6"/>
        <v>4</v>
      </c>
      <c r="J16" s="66">
        <f t="shared" si="7"/>
        <v>4</v>
      </c>
      <c r="K16" s="74">
        <v>3.0</v>
      </c>
      <c r="L16" s="66">
        <v>1.0</v>
      </c>
      <c r="M16" s="66">
        <v>0.0</v>
      </c>
      <c r="N16" s="66">
        <v>0.0</v>
      </c>
      <c r="O16" s="66">
        <v>0.0</v>
      </c>
      <c r="P16" s="66">
        <v>0.0</v>
      </c>
      <c r="Q16" s="66">
        <v>0.0</v>
      </c>
      <c r="R16" s="66">
        <v>0.0</v>
      </c>
      <c r="S16" s="66">
        <v>0.0</v>
      </c>
      <c r="T16" s="66">
        <v>0.0</v>
      </c>
      <c r="U16" s="66">
        <v>0.0</v>
      </c>
      <c r="V16" s="66">
        <v>0.0</v>
      </c>
      <c r="W16" s="66">
        <v>4.0</v>
      </c>
      <c r="X16" s="75">
        <v>0.0</v>
      </c>
    </row>
    <row r="17" ht="15.75" customHeight="1">
      <c r="A17" s="68">
        <v>2.0</v>
      </c>
      <c r="B17" s="69">
        <v>45779.0</v>
      </c>
      <c r="C17" s="87">
        <v>0.8958333333333334</v>
      </c>
      <c r="D17" s="72" t="s">
        <v>54</v>
      </c>
      <c r="E17" s="72" t="s">
        <v>55</v>
      </c>
      <c r="F17" s="72" t="s">
        <v>32</v>
      </c>
      <c r="G17" s="73">
        <v>3.0</v>
      </c>
      <c r="H17" s="74">
        <f t="shared" si="5"/>
        <v>4</v>
      </c>
      <c r="I17" s="66">
        <f t="shared" si="6"/>
        <v>4</v>
      </c>
      <c r="J17" s="66">
        <f t="shared" si="7"/>
        <v>3</v>
      </c>
      <c r="K17" s="74">
        <v>2.0</v>
      </c>
      <c r="L17" s="66">
        <v>1.0</v>
      </c>
      <c r="M17" s="66">
        <v>0.0</v>
      </c>
      <c r="N17" s="66">
        <v>0.0</v>
      </c>
      <c r="O17" s="66">
        <v>0.0</v>
      </c>
      <c r="P17" s="66">
        <v>0.0</v>
      </c>
      <c r="Q17" s="66">
        <v>0.0</v>
      </c>
      <c r="R17" s="66">
        <v>0.0</v>
      </c>
      <c r="S17" s="66">
        <v>0.0</v>
      </c>
      <c r="T17" s="66">
        <v>0.0</v>
      </c>
      <c r="U17" s="66">
        <v>0.0</v>
      </c>
      <c r="V17" s="66">
        <v>1.0</v>
      </c>
      <c r="W17" s="66">
        <v>2.0</v>
      </c>
      <c r="X17" s="75">
        <v>3.0</v>
      </c>
    </row>
    <row r="18" ht="15.75" customHeight="1">
      <c r="A18" s="68">
        <v>2.0</v>
      </c>
      <c r="B18" s="69">
        <v>45779.0</v>
      </c>
      <c r="C18" s="87">
        <v>0.8958333333333334</v>
      </c>
      <c r="D18" s="72" t="s">
        <v>54</v>
      </c>
      <c r="E18" s="72" t="s">
        <v>55</v>
      </c>
      <c r="F18" s="72" t="s">
        <v>35</v>
      </c>
      <c r="G18" s="73">
        <v>4.0</v>
      </c>
      <c r="H18" s="74">
        <f t="shared" si="5"/>
        <v>4</v>
      </c>
      <c r="I18" s="66">
        <f t="shared" si="6"/>
        <v>4</v>
      </c>
      <c r="J18" s="66">
        <f t="shared" si="7"/>
        <v>3</v>
      </c>
      <c r="K18" s="74">
        <v>2.0</v>
      </c>
      <c r="L18" s="66">
        <v>1.0</v>
      </c>
      <c r="M18" s="66">
        <v>0.0</v>
      </c>
      <c r="N18" s="66">
        <v>0.0</v>
      </c>
      <c r="O18" s="66">
        <v>0.0</v>
      </c>
      <c r="P18" s="66">
        <v>0.0</v>
      </c>
      <c r="Q18" s="66">
        <v>0.0</v>
      </c>
      <c r="R18" s="66">
        <v>0.0</v>
      </c>
      <c r="S18" s="66">
        <v>0.0</v>
      </c>
      <c r="T18" s="66">
        <v>0.0</v>
      </c>
      <c r="U18" s="66">
        <v>1.0</v>
      </c>
      <c r="V18" s="66">
        <v>0.0</v>
      </c>
      <c r="W18" s="66">
        <v>2.0</v>
      </c>
      <c r="X18" s="75">
        <v>3.0</v>
      </c>
    </row>
    <row r="19" ht="15.75" customHeight="1">
      <c r="A19" s="68">
        <v>2.0</v>
      </c>
      <c r="B19" s="69">
        <v>45779.0</v>
      </c>
      <c r="C19" s="87">
        <v>0.8958333333333334</v>
      </c>
      <c r="D19" s="72" t="s">
        <v>54</v>
      </c>
      <c r="E19" s="72" t="s">
        <v>55</v>
      </c>
      <c r="F19" s="72" t="s">
        <v>34</v>
      </c>
      <c r="G19" s="73">
        <v>5.0</v>
      </c>
      <c r="H19" s="74">
        <f t="shared" si="5"/>
        <v>4</v>
      </c>
      <c r="I19" s="66">
        <f t="shared" si="6"/>
        <v>4</v>
      </c>
      <c r="J19" s="66">
        <f t="shared" si="7"/>
        <v>2</v>
      </c>
      <c r="K19" s="74">
        <v>1.0</v>
      </c>
      <c r="L19" s="66">
        <v>1.0</v>
      </c>
      <c r="M19" s="66">
        <v>0.0</v>
      </c>
      <c r="N19" s="66">
        <v>0.0</v>
      </c>
      <c r="O19" s="66">
        <v>0.0</v>
      </c>
      <c r="P19" s="66">
        <v>0.0</v>
      </c>
      <c r="Q19" s="66">
        <v>0.0</v>
      </c>
      <c r="R19" s="66">
        <v>0.0</v>
      </c>
      <c r="S19" s="66">
        <v>0.0</v>
      </c>
      <c r="T19" s="66">
        <v>0.0</v>
      </c>
      <c r="U19" s="66">
        <v>1.0</v>
      </c>
      <c r="V19" s="66">
        <v>1.0</v>
      </c>
      <c r="W19" s="66">
        <v>2.0</v>
      </c>
      <c r="X19" s="75">
        <v>2.0</v>
      </c>
    </row>
    <row r="20" ht="15.75" customHeight="1">
      <c r="A20" s="68">
        <v>2.0</v>
      </c>
      <c r="B20" s="69">
        <v>45779.0</v>
      </c>
      <c r="C20" s="87">
        <v>0.8958333333333334</v>
      </c>
      <c r="D20" s="72" t="s">
        <v>54</v>
      </c>
      <c r="E20" s="72" t="s">
        <v>55</v>
      </c>
      <c r="F20" s="72" t="s">
        <v>33</v>
      </c>
      <c r="G20" s="73">
        <v>6.0</v>
      </c>
      <c r="H20" s="74">
        <f t="shared" si="5"/>
        <v>4</v>
      </c>
      <c r="I20" s="66">
        <f t="shared" si="6"/>
        <v>4</v>
      </c>
      <c r="J20" s="66">
        <f t="shared" si="7"/>
        <v>1</v>
      </c>
      <c r="K20" s="74">
        <v>1.0</v>
      </c>
      <c r="L20" s="66">
        <v>0.0</v>
      </c>
      <c r="M20" s="66">
        <v>0.0</v>
      </c>
      <c r="N20" s="66">
        <v>0.0</v>
      </c>
      <c r="O20" s="66">
        <v>0.0</v>
      </c>
      <c r="P20" s="66">
        <v>0.0</v>
      </c>
      <c r="Q20" s="66">
        <v>0.0</v>
      </c>
      <c r="R20" s="66">
        <v>0.0</v>
      </c>
      <c r="S20" s="66">
        <v>0.0</v>
      </c>
      <c r="T20" s="66">
        <v>0.0</v>
      </c>
      <c r="U20" s="66">
        <v>0.0</v>
      </c>
      <c r="V20" s="66">
        <v>3.0</v>
      </c>
      <c r="W20" s="66">
        <v>0.0</v>
      </c>
      <c r="X20" s="75">
        <v>1.0</v>
      </c>
    </row>
    <row r="21" ht="15.75" customHeight="1">
      <c r="A21" s="68">
        <v>2.0</v>
      </c>
      <c r="B21" s="69">
        <v>45779.0</v>
      </c>
      <c r="C21" s="87">
        <v>0.8958333333333334</v>
      </c>
      <c r="D21" s="72" t="s">
        <v>54</v>
      </c>
      <c r="E21" s="72" t="s">
        <v>55</v>
      </c>
      <c r="F21" s="72" t="s">
        <v>36</v>
      </c>
      <c r="G21" s="73">
        <v>7.0</v>
      </c>
      <c r="H21" s="74">
        <f t="shared" si="5"/>
        <v>4</v>
      </c>
      <c r="I21" s="66">
        <f t="shared" si="6"/>
        <v>4</v>
      </c>
      <c r="J21" s="66">
        <f t="shared" si="7"/>
        <v>2</v>
      </c>
      <c r="K21" s="74">
        <v>2.0</v>
      </c>
      <c r="L21" s="66">
        <v>0.0</v>
      </c>
      <c r="M21" s="66">
        <v>0.0</v>
      </c>
      <c r="N21" s="66">
        <v>0.0</v>
      </c>
      <c r="O21" s="66">
        <v>0.0</v>
      </c>
      <c r="P21" s="66">
        <v>0.0</v>
      </c>
      <c r="Q21" s="66">
        <v>0.0</v>
      </c>
      <c r="R21" s="66">
        <v>0.0</v>
      </c>
      <c r="S21" s="66">
        <v>0.0</v>
      </c>
      <c r="T21" s="66">
        <v>0.0</v>
      </c>
      <c r="U21" s="66">
        <v>0.0</v>
      </c>
      <c r="V21" s="66">
        <v>2.0</v>
      </c>
      <c r="W21" s="66">
        <v>2.0</v>
      </c>
      <c r="X21" s="75">
        <v>2.0</v>
      </c>
    </row>
    <row r="22" ht="15.75" customHeight="1">
      <c r="A22" s="68">
        <v>2.0</v>
      </c>
      <c r="B22" s="69">
        <v>45779.0</v>
      </c>
      <c r="C22" s="87">
        <v>0.8958333333333334</v>
      </c>
      <c r="D22" s="72" t="s">
        <v>54</v>
      </c>
      <c r="E22" s="72" t="s">
        <v>55</v>
      </c>
      <c r="F22" s="76" t="s">
        <v>31</v>
      </c>
      <c r="G22" s="73">
        <v>8.0</v>
      </c>
      <c r="H22" s="74">
        <f t="shared" si="5"/>
        <v>4</v>
      </c>
      <c r="I22" s="66">
        <f t="shared" si="6"/>
        <v>4</v>
      </c>
      <c r="J22" s="66">
        <f t="shared" si="7"/>
        <v>4</v>
      </c>
      <c r="K22" s="74">
        <v>2.0</v>
      </c>
      <c r="L22" s="66">
        <v>2.0</v>
      </c>
      <c r="M22" s="66">
        <v>0.0</v>
      </c>
      <c r="N22" s="66">
        <v>0.0</v>
      </c>
      <c r="O22" s="66">
        <v>0.0</v>
      </c>
      <c r="P22" s="66">
        <v>0.0</v>
      </c>
      <c r="Q22" s="66">
        <v>0.0</v>
      </c>
      <c r="R22" s="66">
        <v>0.0</v>
      </c>
      <c r="S22" s="66">
        <v>0.0</v>
      </c>
      <c r="T22" s="66">
        <v>0.0</v>
      </c>
      <c r="U22" s="66">
        <v>0.0</v>
      </c>
      <c r="V22" s="66">
        <v>0.0</v>
      </c>
      <c r="W22" s="66">
        <v>2.0</v>
      </c>
      <c r="X22" s="75">
        <v>2.0</v>
      </c>
    </row>
    <row r="23" ht="15.75" customHeight="1">
      <c r="A23" s="68">
        <v>2.0</v>
      </c>
      <c r="B23" s="69">
        <v>45779.0</v>
      </c>
      <c r="C23" s="87">
        <v>0.8958333333333334</v>
      </c>
      <c r="D23" s="72" t="s">
        <v>54</v>
      </c>
      <c r="E23" s="72" t="s">
        <v>55</v>
      </c>
      <c r="F23" s="72" t="s">
        <v>29</v>
      </c>
      <c r="G23" s="73">
        <v>9.0</v>
      </c>
      <c r="H23" s="74">
        <f t="shared" si="5"/>
        <v>4</v>
      </c>
      <c r="I23" s="66">
        <f t="shared" si="6"/>
        <v>4</v>
      </c>
      <c r="J23" s="66">
        <f t="shared" si="7"/>
        <v>2</v>
      </c>
      <c r="K23" s="74">
        <v>2.0</v>
      </c>
      <c r="L23" s="66">
        <v>0.0</v>
      </c>
      <c r="M23" s="66">
        <v>0.0</v>
      </c>
      <c r="N23" s="66">
        <v>0.0</v>
      </c>
      <c r="O23" s="66">
        <v>0.0</v>
      </c>
      <c r="P23" s="66">
        <v>0.0</v>
      </c>
      <c r="Q23" s="66">
        <v>0.0</v>
      </c>
      <c r="R23" s="66">
        <v>0.0</v>
      </c>
      <c r="S23" s="66">
        <v>0.0</v>
      </c>
      <c r="T23" s="66">
        <v>0.0</v>
      </c>
      <c r="U23" s="66">
        <v>0.0</v>
      </c>
      <c r="V23" s="66">
        <v>2.0</v>
      </c>
      <c r="W23" s="66">
        <v>0.0</v>
      </c>
      <c r="X23" s="75">
        <v>2.0</v>
      </c>
    </row>
    <row r="24" ht="15.75" customHeight="1">
      <c r="A24" s="68">
        <v>2.0</v>
      </c>
      <c r="B24" s="69">
        <v>45779.0</v>
      </c>
      <c r="C24" s="87">
        <v>0.8958333333333334</v>
      </c>
      <c r="D24" s="72" t="s">
        <v>54</v>
      </c>
      <c r="E24" s="72" t="s">
        <v>55</v>
      </c>
      <c r="F24" s="72" t="s">
        <v>40</v>
      </c>
      <c r="G24" s="73">
        <v>10.0</v>
      </c>
      <c r="H24" s="74">
        <f t="shared" si="5"/>
        <v>4</v>
      </c>
      <c r="I24" s="66">
        <f t="shared" si="6"/>
        <v>4</v>
      </c>
      <c r="J24" s="66">
        <f t="shared" si="7"/>
        <v>1</v>
      </c>
      <c r="K24" s="74">
        <v>1.0</v>
      </c>
      <c r="L24" s="66">
        <v>0.0</v>
      </c>
      <c r="M24" s="66">
        <v>0.0</v>
      </c>
      <c r="N24" s="66">
        <v>0.0</v>
      </c>
      <c r="O24" s="66">
        <v>0.0</v>
      </c>
      <c r="P24" s="66">
        <v>0.0</v>
      </c>
      <c r="Q24" s="66">
        <v>0.0</v>
      </c>
      <c r="R24" s="66">
        <v>0.0</v>
      </c>
      <c r="S24" s="66">
        <v>0.0</v>
      </c>
      <c r="T24" s="66">
        <v>0.0</v>
      </c>
      <c r="U24" s="66">
        <v>1.0</v>
      </c>
      <c r="V24" s="66">
        <v>2.0</v>
      </c>
      <c r="W24" s="66">
        <v>0.0</v>
      </c>
      <c r="X24" s="75">
        <v>0.0</v>
      </c>
    </row>
    <row r="25" ht="15.75" customHeight="1">
      <c r="A25" s="68">
        <v>2.0</v>
      </c>
      <c r="B25" s="69">
        <v>45779.0</v>
      </c>
      <c r="C25" s="87">
        <v>0.8958333333333334</v>
      </c>
      <c r="D25" s="72" t="s">
        <v>54</v>
      </c>
      <c r="E25" s="72" t="s">
        <v>55</v>
      </c>
      <c r="F25" s="72" t="s">
        <v>39</v>
      </c>
      <c r="G25" s="73">
        <v>11.0</v>
      </c>
      <c r="H25" s="74">
        <f t="shared" si="5"/>
        <v>4</v>
      </c>
      <c r="I25" s="66">
        <f t="shared" si="6"/>
        <v>4</v>
      </c>
      <c r="J25" s="66">
        <f t="shared" si="7"/>
        <v>3</v>
      </c>
      <c r="K25" s="74">
        <v>3.0</v>
      </c>
      <c r="L25" s="66">
        <v>0.0</v>
      </c>
      <c r="M25" s="66">
        <v>0.0</v>
      </c>
      <c r="N25" s="66">
        <v>0.0</v>
      </c>
      <c r="O25" s="66">
        <v>0.0</v>
      </c>
      <c r="P25" s="66">
        <v>0.0</v>
      </c>
      <c r="Q25" s="66">
        <v>0.0</v>
      </c>
      <c r="R25" s="66">
        <v>0.0</v>
      </c>
      <c r="S25" s="66">
        <v>0.0</v>
      </c>
      <c r="T25" s="66">
        <v>0.0</v>
      </c>
      <c r="U25" s="66">
        <v>1.0</v>
      </c>
      <c r="V25" s="66">
        <v>0.0</v>
      </c>
      <c r="W25" s="66">
        <v>1.0</v>
      </c>
      <c r="X25" s="75">
        <v>1.0</v>
      </c>
    </row>
    <row r="26" ht="15.75" customHeight="1">
      <c r="A26" s="68">
        <v>2.0</v>
      </c>
      <c r="B26" s="69">
        <v>45779.0</v>
      </c>
      <c r="C26" s="87">
        <v>0.8958333333333334</v>
      </c>
      <c r="D26" s="72" t="s">
        <v>54</v>
      </c>
      <c r="E26" s="72" t="s">
        <v>55</v>
      </c>
      <c r="F26" s="72" t="s">
        <v>38</v>
      </c>
      <c r="G26" s="73">
        <v>12.0</v>
      </c>
      <c r="H26" s="74">
        <f t="shared" si="5"/>
        <v>4</v>
      </c>
      <c r="I26" s="66">
        <f t="shared" si="6"/>
        <v>4</v>
      </c>
      <c r="J26" s="66">
        <f t="shared" si="7"/>
        <v>1</v>
      </c>
      <c r="K26" s="74">
        <v>1.0</v>
      </c>
      <c r="L26" s="66">
        <v>0.0</v>
      </c>
      <c r="M26" s="66">
        <v>0.0</v>
      </c>
      <c r="N26" s="66">
        <v>0.0</v>
      </c>
      <c r="O26" s="66">
        <v>0.0</v>
      </c>
      <c r="P26" s="66">
        <v>0.0</v>
      </c>
      <c r="Q26" s="66">
        <v>0.0</v>
      </c>
      <c r="R26" s="66">
        <v>0.0</v>
      </c>
      <c r="S26" s="66">
        <v>0.0</v>
      </c>
      <c r="T26" s="66">
        <v>0.0</v>
      </c>
      <c r="U26" s="66">
        <v>2.0</v>
      </c>
      <c r="V26" s="66">
        <v>1.0</v>
      </c>
      <c r="W26" s="66">
        <v>0.0</v>
      </c>
      <c r="X26" s="75">
        <v>0.0</v>
      </c>
    </row>
    <row r="27" ht="15.75" customHeight="1">
      <c r="A27" s="77">
        <v>2.0</v>
      </c>
      <c r="B27" s="78">
        <v>45779.0</v>
      </c>
      <c r="C27" s="88">
        <v>0.8958333333333334</v>
      </c>
      <c r="D27" s="81" t="s">
        <v>54</v>
      </c>
      <c r="E27" s="81" t="s">
        <v>55</v>
      </c>
      <c r="F27" s="81" t="s">
        <v>44</v>
      </c>
      <c r="G27" s="82"/>
      <c r="H27" s="89">
        <f t="shared" ref="H27:X27" si="8">SUBTOTAL(109,H15:H26)</f>
        <v>48</v>
      </c>
      <c r="I27" s="90">
        <f t="shared" si="8"/>
        <v>48</v>
      </c>
      <c r="J27" s="90">
        <f t="shared" si="8"/>
        <v>28</v>
      </c>
      <c r="K27" s="89">
        <f t="shared" si="8"/>
        <v>21</v>
      </c>
      <c r="L27" s="90">
        <f t="shared" si="8"/>
        <v>7</v>
      </c>
      <c r="M27" s="90">
        <f t="shared" si="8"/>
        <v>0</v>
      </c>
      <c r="N27" s="90">
        <f t="shared" si="8"/>
        <v>0</v>
      </c>
      <c r="O27" s="90">
        <f t="shared" si="8"/>
        <v>0</v>
      </c>
      <c r="P27" s="90">
        <f t="shared" si="8"/>
        <v>0</v>
      </c>
      <c r="Q27" s="90">
        <f t="shared" si="8"/>
        <v>0</v>
      </c>
      <c r="R27" s="90">
        <f t="shared" si="8"/>
        <v>0</v>
      </c>
      <c r="S27" s="90">
        <f t="shared" si="8"/>
        <v>0</v>
      </c>
      <c r="T27" s="90">
        <f t="shared" si="8"/>
        <v>0</v>
      </c>
      <c r="U27" s="90">
        <f t="shared" si="8"/>
        <v>6</v>
      </c>
      <c r="V27" s="90">
        <f t="shared" si="8"/>
        <v>14</v>
      </c>
      <c r="W27" s="90">
        <f t="shared" si="8"/>
        <v>17</v>
      </c>
      <c r="X27" s="91">
        <f t="shared" si="8"/>
        <v>17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ht="15.75" customHeight="1">
      <c r="A28" s="58">
        <v>3.0</v>
      </c>
      <c r="B28" s="59">
        <v>45782.0</v>
      </c>
      <c r="C28" s="86">
        <v>0.8333333333333334</v>
      </c>
      <c r="D28" s="62" t="s">
        <v>54</v>
      </c>
      <c r="E28" s="62" t="s">
        <v>56</v>
      </c>
      <c r="F28" s="62" t="s">
        <v>28</v>
      </c>
      <c r="G28" s="65">
        <v>1.0</v>
      </c>
      <c r="H28" s="74">
        <f t="shared" ref="H28:H39" si="9">SUM(K28:V28)</f>
        <v>4</v>
      </c>
      <c r="I28" s="66">
        <f t="shared" ref="I28:I39" si="10">SUM(K28:P28,S28:V28)</f>
        <v>4</v>
      </c>
      <c r="J28" s="66">
        <f t="shared" ref="J28:J39" si="11">SUM(K28:O28)</f>
        <v>4</v>
      </c>
      <c r="K28" s="74">
        <v>3.0</v>
      </c>
      <c r="L28" s="66">
        <v>1.0</v>
      </c>
      <c r="M28" s="66">
        <v>0.0</v>
      </c>
      <c r="N28" s="66">
        <v>0.0</v>
      </c>
      <c r="O28" s="66">
        <v>0.0</v>
      </c>
      <c r="P28" s="66">
        <v>0.0</v>
      </c>
      <c r="Q28" s="66">
        <v>0.0</v>
      </c>
      <c r="R28" s="66">
        <v>0.0</v>
      </c>
      <c r="S28" s="66">
        <v>0.0</v>
      </c>
      <c r="T28" s="66">
        <v>0.0</v>
      </c>
      <c r="U28" s="66">
        <v>0.0</v>
      </c>
      <c r="V28" s="66">
        <v>0.0</v>
      </c>
      <c r="W28" s="66">
        <v>3.0</v>
      </c>
      <c r="X28" s="75">
        <v>0.0</v>
      </c>
    </row>
    <row r="29" ht="15.75" customHeight="1">
      <c r="A29" s="68">
        <v>3.0</v>
      </c>
      <c r="B29" s="69">
        <v>45782.0</v>
      </c>
      <c r="C29" s="87">
        <v>0.8333333333333334</v>
      </c>
      <c r="D29" s="72" t="s">
        <v>54</v>
      </c>
      <c r="E29" s="72" t="s">
        <v>56</v>
      </c>
      <c r="F29" s="72" t="s">
        <v>26</v>
      </c>
      <c r="G29" s="66">
        <v>2.0</v>
      </c>
      <c r="H29" s="74">
        <f t="shared" si="9"/>
        <v>4</v>
      </c>
      <c r="I29" s="66">
        <f t="shared" si="10"/>
        <v>4</v>
      </c>
      <c r="J29" s="66">
        <f t="shared" si="11"/>
        <v>2</v>
      </c>
      <c r="K29" s="74">
        <v>1.0</v>
      </c>
      <c r="L29" s="66">
        <v>0.0</v>
      </c>
      <c r="M29" s="66">
        <v>0.0</v>
      </c>
      <c r="N29" s="66">
        <v>1.0</v>
      </c>
      <c r="O29" s="66">
        <v>0.0</v>
      </c>
      <c r="P29" s="66">
        <v>0.0</v>
      </c>
      <c r="Q29" s="66">
        <v>0.0</v>
      </c>
      <c r="R29" s="66">
        <v>0.0</v>
      </c>
      <c r="S29" s="66">
        <v>0.0</v>
      </c>
      <c r="T29" s="66">
        <v>0.0</v>
      </c>
      <c r="U29" s="66">
        <v>0.0</v>
      </c>
      <c r="V29" s="66">
        <v>2.0</v>
      </c>
      <c r="W29" s="66">
        <v>2.0</v>
      </c>
      <c r="X29" s="75">
        <v>2.0</v>
      </c>
    </row>
    <row r="30" ht="15.75" customHeight="1">
      <c r="A30" s="68">
        <v>3.0</v>
      </c>
      <c r="B30" s="69">
        <v>45782.0</v>
      </c>
      <c r="C30" s="87">
        <v>0.8333333333333334</v>
      </c>
      <c r="D30" s="72" t="s">
        <v>54</v>
      </c>
      <c r="E30" s="72" t="s">
        <v>56</v>
      </c>
      <c r="F30" s="72" t="s">
        <v>32</v>
      </c>
      <c r="G30" s="66">
        <v>3.0</v>
      </c>
      <c r="H30" s="74">
        <f t="shared" si="9"/>
        <v>4</v>
      </c>
      <c r="I30" s="66">
        <f t="shared" si="10"/>
        <v>4</v>
      </c>
      <c r="J30" s="66">
        <f t="shared" si="11"/>
        <v>2</v>
      </c>
      <c r="K30" s="74">
        <v>1.0</v>
      </c>
      <c r="L30" s="66">
        <v>1.0</v>
      </c>
      <c r="M30" s="66">
        <v>0.0</v>
      </c>
      <c r="N30" s="66">
        <v>0.0</v>
      </c>
      <c r="O30" s="66">
        <v>0.0</v>
      </c>
      <c r="P30" s="66">
        <v>0.0</v>
      </c>
      <c r="Q30" s="66">
        <v>0.0</v>
      </c>
      <c r="R30" s="66">
        <v>0.0</v>
      </c>
      <c r="S30" s="66">
        <v>0.0</v>
      </c>
      <c r="T30" s="66">
        <v>0.0</v>
      </c>
      <c r="U30" s="66">
        <v>0.0</v>
      </c>
      <c r="V30" s="66">
        <v>2.0</v>
      </c>
      <c r="W30" s="66">
        <v>1.0</v>
      </c>
      <c r="X30" s="75">
        <v>2.0</v>
      </c>
    </row>
    <row r="31" ht="15.75" customHeight="1">
      <c r="A31" s="68">
        <v>3.0</v>
      </c>
      <c r="B31" s="69">
        <v>45782.0</v>
      </c>
      <c r="C31" s="87">
        <v>0.8333333333333334</v>
      </c>
      <c r="D31" s="72" t="s">
        <v>54</v>
      </c>
      <c r="E31" s="72" t="s">
        <v>56</v>
      </c>
      <c r="F31" s="72" t="s">
        <v>30</v>
      </c>
      <c r="G31" s="66">
        <v>4.0</v>
      </c>
      <c r="H31" s="74">
        <f t="shared" si="9"/>
        <v>4</v>
      </c>
      <c r="I31" s="66">
        <f t="shared" si="10"/>
        <v>4</v>
      </c>
      <c r="J31" s="66">
        <f t="shared" si="11"/>
        <v>3</v>
      </c>
      <c r="K31" s="74">
        <v>2.0</v>
      </c>
      <c r="L31" s="66">
        <v>0.0</v>
      </c>
      <c r="M31" s="66">
        <v>0.0</v>
      </c>
      <c r="N31" s="66">
        <v>0.0</v>
      </c>
      <c r="O31" s="66">
        <v>1.0</v>
      </c>
      <c r="P31" s="66">
        <v>0.0</v>
      </c>
      <c r="Q31" s="66">
        <v>0.0</v>
      </c>
      <c r="R31" s="66">
        <v>0.0</v>
      </c>
      <c r="S31" s="66">
        <v>0.0</v>
      </c>
      <c r="T31" s="66">
        <v>1.0</v>
      </c>
      <c r="U31" s="66">
        <v>0.0</v>
      </c>
      <c r="V31" s="66">
        <v>0.0</v>
      </c>
      <c r="W31" s="66">
        <v>2.0</v>
      </c>
      <c r="X31" s="75">
        <v>2.0</v>
      </c>
    </row>
    <row r="32" ht="15.75" customHeight="1">
      <c r="A32" s="68">
        <v>3.0</v>
      </c>
      <c r="B32" s="69">
        <v>45782.0</v>
      </c>
      <c r="C32" s="87">
        <v>0.8333333333333334</v>
      </c>
      <c r="D32" s="72" t="s">
        <v>54</v>
      </c>
      <c r="E32" s="72" t="s">
        <v>56</v>
      </c>
      <c r="F32" s="72" t="s">
        <v>35</v>
      </c>
      <c r="G32" s="66">
        <v>5.0</v>
      </c>
      <c r="H32" s="74">
        <f t="shared" si="9"/>
        <v>4</v>
      </c>
      <c r="I32" s="66">
        <f t="shared" si="10"/>
        <v>4</v>
      </c>
      <c r="J32" s="66">
        <f t="shared" si="11"/>
        <v>2</v>
      </c>
      <c r="K32" s="74">
        <v>1.0</v>
      </c>
      <c r="L32" s="66">
        <v>1.0</v>
      </c>
      <c r="M32" s="66">
        <v>0.0</v>
      </c>
      <c r="N32" s="66">
        <v>0.0</v>
      </c>
      <c r="O32" s="66">
        <v>0.0</v>
      </c>
      <c r="P32" s="66">
        <v>0.0</v>
      </c>
      <c r="Q32" s="66">
        <v>0.0</v>
      </c>
      <c r="R32" s="66">
        <v>0.0</v>
      </c>
      <c r="S32" s="66">
        <v>0.0</v>
      </c>
      <c r="T32" s="66">
        <v>0.0</v>
      </c>
      <c r="U32" s="66">
        <v>0.0</v>
      </c>
      <c r="V32" s="66">
        <v>2.0</v>
      </c>
      <c r="W32" s="66">
        <v>2.0</v>
      </c>
      <c r="X32" s="75">
        <v>1.0</v>
      </c>
    </row>
    <row r="33" ht="15.75" customHeight="1">
      <c r="A33" s="68">
        <v>3.0</v>
      </c>
      <c r="B33" s="69">
        <v>45782.0</v>
      </c>
      <c r="C33" s="87">
        <v>0.8333333333333334</v>
      </c>
      <c r="D33" s="72" t="s">
        <v>54</v>
      </c>
      <c r="E33" s="72" t="s">
        <v>56</v>
      </c>
      <c r="F33" s="72" t="s">
        <v>34</v>
      </c>
      <c r="G33" s="66">
        <v>6.0</v>
      </c>
      <c r="H33" s="74">
        <f t="shared" si="9"/>
        <v>4</v>
      </c>
      <c r="I33" s="66">
        <f t="shared" si="10"/>
        <v>4</v>
      </c>
      <c r="J33" s="66">
        <f t="shared" si="11"/>
        <v>3</v>
      </c>
      <c r="K33" s="74">
        <v>2.0</v>
      </c>
      <c r="L33" s="66">
        <v>1.0</v>
      </c>
      <c r="M33" s="66">
        <v>0.0</v>
      </c>
      <c r="N33" s="66">
        <v>0.0</v>
      </c>
      <c r="O33" s="66">
        <v>0.0</v>
      </c>
      <c r="P33" s="66">
        <v>0.0</v>
      </c>
      <c r="Q33" s="66">
        <v>0.0</v>
      </c>
      <c r="R33" s="66">
        <v>0.0</v>
      </c>
      <c r="S33" s="66">
        <v>0.0</v>
      </c>
      <c r="T33" s="66">
        <v>0.0</v>
      </c>
      <c r="U33" s="66">
        <v>1.0</v>
      </c>
      <c r="V33" s="66">
        <v>0.0</v>
      </c>
      <c r="W33" s="66">
        <v>3.0</v>
      </c>
      <c r="X33" s="75">
        <v>1.0</v>
      </c>
    </row>
    <row r="34" ht="15.75" customHeight="1">
      <c r="A34" s="68">
        <v>3.0</v>
      </c>
      <c r="B34" s="69">
        <v>45782.0</v>
      </c>
      <c r="C34" s="87">
        <v>0.8333333333333334</v>
      </c>
      <c r="D34" s="72" t="s">
        <v>54</v>
      </c>
      <c r="E34" s="72" t="s">
        <v>56</v>
      </c>
      <c r="F34" s="72" t="s">
        <v>33</v>
      </c>
      <c r="G34" s="66">
        <v>7.0</v>
      </c>
      <c r="H34" s="74">
        <f t="shared" si="9"/>
        <v>4</v>
      </c>
      <c r="I34" s="66">
        <f t="shared" si="10"/>
        <v>3</v>
      </c>
      <c r="J34" s="66">
        <f t="shared" si="11"/>
        <v>3</v>
      </c>
      <c r="K34" s="74">
        <v>1.0</v>
      </c>
      <c r="L34" s="66">
        <v>1.0</v>
      </c>
      <c r="M34" s="66">
        <v>1.0</v>
      </c>
      <c r="N34" s="66">
        <v>0.0</v>
      </c>
      <c r="O34" s="66">
        <v>0.0</v>
      </c>
      <c r="P34" s="66">
        <v>0.0</v>
      </c>
      <c r="Q34" s="66">
        <v>0.0</v>
      </c>
      <c r="R34" s="66">
        <v>1.0</v>
      </c>
      <c r="S34" s="66">
        <v>0.0</v>
      </c>
      <c r="T34" s="66">
        <v>0.0</v>
      </c>
      <c r="U34" s="66">
        <v>0.0</v>
      </c>
      <c r="V34" s="66">
        <v>0.0</v>
      </c>
      <c r="W34" s="66">
        <v>3.0</v>
      </c>
      <c r="X34" s="75">
        <v>2.0</v>
      </c>
    </row>
    <row r="35" ht="15.75" customHeight="1">
      <c r="A35" s="68">
        <v>3.0</v>
      </c>
      <c r="B35" s="69">
        <v>45782.0</v>
      </c>
      <c r="C35" s="87">
        <v>0.8333333333333334</v>
      </c>
      <c r="D35" s="72" t="s">
        <v>54</v>
      </c>
      <c r="E35" s="72" t="s">
        <v>56</v>
      </c>
      <c r="F35" s="72" t="s">
        <v>36</v>
      </c>
      <c r="G35" s="66">
        <v>8.0</v>
      </c>
      <c r="H35" s="74">
        <f t="shared" si="9"/>
        <v>4</v>
      </c>
      <c r="I35" s="66">
        <f t="shared" si="10"/>
        <v>4</v>
      </c>
      <c r="J35" s="66">
        <f t="shared" si="11"/>
        <v>4</v>
      </c>
      <c r="K35" s="74">
        <v>4.0</v>
      </c>
      <c r="L35" s="66">
        <v>0.0</v>
      </c>
      <c r="M35" s="66">
        <v>0.0</v>
      </c>
      <c r="N35" s="66">
        <v>0.0</v>
      </c>
      <c r="O35" s="66">
        <v>0.0</v>
      </c>
      <c r="P35" s="66">
        <v>0.0</v>
      </c>
      <c r="Q35" s="66">
        <v>0.0</v>
      </c>
      <c r="R35" s="66">
        <v>0.0</v>
      </c>
      <c r="S35" s="66">
        <v>0.0</v>
      </c>
      <c r="T35" s="66">
        <v>0.0</v>
      </c>
      <c r="U35" s="66">
        <v>0.0</v>
      </c>
      <c r="V35" s="66">
        <v>0.0</v>
      </c>
      <c r="W35" s="66">
        <v>2.0</v>
      </c>
      <c r="X35" s="75">
        <v>4.0</v>
      </c>
    </row>
    <row r="36" ht="15.75" customHeight="1">
      <c r="A36" s="68">
        <v>3.0</v>
      </c>
      <c r="B36" s="69">
        <v>45782.0</v>
      </c>
      <c r="C36" s="87">
        <v>0.8333333333333334</v>
      </c>
      <c r="D36" s="72" t="s">
        <v>54</v>
      </c>
      <c r="E36" s="72" t="s">
        <v>56</v>
      </c>
      <c r="F36" s="72" t="s">
        <v>31</v>
      </c>
      <c r="G36" s="66">
        <v>9.0</v>
      </c>
      <c r="H36" s="74">
        <f t="shared" si="9"/>
        <v>4</v>
      </c>
      <c r="I36" s="66">
        <f t="shared" si="10"/>
        <v>4</v>
      </c>
      <c r="J36" s="66">
        <f t="shared" si="11"/>
        <v>2</v>
      </c>
      <c r="K36" s="74">
        <v>1.0</v>
      </c>
      <c r="L36" s="66">
        <v>1.0</v>
      </c>
      <c r="M36" s="66">
        <v>0.0</v>
      </c>
      <c r="N36" s="66">
        <v>0.0</v>
      </c>
      <c r="O36" s="66">
        <v>0.0</v>
      </c>
      <c r="P36" s="66">
        <v>0.0</v>
      </c>
      <c r="Q36" s="66">
        <v>0.0</v>
      </c>
      <c r="R36" s="66">
        <v>0.0</v>
      </c>
      <c r="S36" s="66">
        <v>0.0</v>
      </c>
      <c r="T36" s="66">
        <v>0.0</v>
      </c>
      <c r="U36" s="66">
        <v>0.0</v>
      </c>
      <c r="V36" s="66">
        <v>2.0</v>
      </c>
      <c r="W36" s="66">
        <v>0.0</v>
      </c>
      <c r="X36" s="75">
        <v>3.0</v>
      </c>
    </row>
    <row r="37" ht="15.75" customHeight="1">
      <c r="A37" s="68">
        <v>3.0</v>
      </c>
      <c r="B37" s="69">
        <v>45782.0</v>
      </c>
      <c r="C37" s="87">
        <v>0.8333333333333334</v>
      </c>
      <c r="D37" s="72" t="s">
        <v>54</v>
      </c>
      <c r="E37" s="72" t="s">
        <v>56</v>
      </c>
      <c r="F37" s="72" t="s">
        <v>29</v>
      </c>
      <c r="G37" s="66">
        <v>10.0</v>
      </c>
      <c r="H37" s="74">
        <f t="shared" si="9"/>
        <v>4</v>
      </c>
      <c r="I37" s="66">
        <f t="shared" si="10"/>
        <v>3</v>
      </c>
      <c r="J37" s="66">
        <f t="shared" si="11"/>
        <v>1</v>
      </c>
      <c r="K37" s="74">
        <v>1.0</v>
      </c>
      <c r="L37" s="66">
        <v>0.0</v>
      </c>
      <c r="M37" s="66">
        <v>0.0</v>
      </c>
      <c r="N37" s="66">
        <v>0.0</v>
      </c>
      <c r="O37" s="66">
        <v>0.0</v>
      </c>
      <c r="P37" s="66">
        <v>0.0</v>
      </c>
      <c r="Q37" s="66">
        <v>1.0</v>
      </c>
      <c r="R37" s="66">
        <v>0.0</v>
      </c>
      <c r="S37" s="66">
        <v>0.0</v>
      </c>
      <c r="T37" s="66">
        <v>0.0</v>
      </c>
      <c r="U37" s="66">
        <v>0.0</v>
      </c>
      <c r="V37" s="66">
        <v>2.0</v>
      </c>
      <c r="W37" s="66">
        <v>1.0</v>
      </c>
      <c r="X37" s="75">
        <v>0.0</v>
      </c>
    </row>
    <row r="38" ht="15.75" customHeight="1">
      <c r="A38" s="68">
        <v>3.0</v>
      </c>
      <c r="B38" s="69">
        <v>45782.0</v>
      </c>
      <c r="C38" s="87">
        <v>0.8333333333333334</v>
      </c>
      <c r="D38" s="72" t="s">
        <v>54</v>
      </c>
      <c r="E38" s="72" t="s">
        <v>56</v>
      </c>
      <c r="F38" s="72" t="s">
        <v>39</v>
      </c>
      <c r="G38" s="66">
        <v>11.0</v>
      </c>
      <c r="H38" s="74">
        <f t="shared" si="9"/>
        <v>3</v>
      </c>
      <c r="I38" s="66">
        <f t="shared" si="10"/>
        <v>3</v>
      </c>
      <c r="J38" s="66">
        <f t="shared" si="11"/>
        <v>2</v>
      </c>
      <c r="K38" s="74">
        <v>1.0</v>
      </c>
      <c r="L38" s="66">
        <v>0.0</v>
      </c>
      <c r="M38" s="66">
        <v>0.0</v>
      </c>
      <c r="N38" s="66">
        <v>0.0</v>
      </c>
      <c r="O38" s="66">
        <v>1.0</v>
      </c>
      <c r="P38" s="66">
        <v>0.0</v>
      </c>
      <c r="Q38" s="66">
        <v>0.0</v>
      </c>
      <c r="R38" s="66">
        <v>0.0</v>
      </c>
      <c r="S38" s="66">
        <v>0.0</v>
      </c>
      <c r="T38" s="66">
        <v>0.0</v>
      </c>
      <c r="U38" s="66">
        <v>0.0</v>
      </c>
      <c r="V38" s="66">
        <v>1.0</v>
      </c>
      <c r="W38" s="66">
        <v>1.0</v>
      </c>
      <c r="X38" s="75">
        <v>3.0</v>
      </c>
    </row>
    <row r="39" ht="15.75" customHeight="1">
      <c r="A39" s="68">
        <v>3.0</v>
      </c>
      <c r="B39" s="69">
        <v>45782.0</v>
      </c>
      <c r="C39" s="87">
        <v>0.8333333333333334</v>
      </c>
      <c r="D39" s="72" t="s">
        <v>54</v>
      </c>
      <c r="E39" s="72" t="s">
        <v>56</v>
      </c>
      <c r="F39" s="72" t="s">
        <v>38</v>
      </c>
      <c r="G39" s="66">
        <v>12.0</v>
      </c>
      <c r="H39" s="74">
        <f t="shared" si="9"/>
        <v>3</v>
      </c>
      <c r="I39" s="66">
        <f t="shared" si="10"/>
        <v>3</v>
      </c>
      <c r="J39" s="66">
        <f t="shared" si="11"/>
        <v>0</v>
      </c>
      <c r="K39" s="74">
        <v>0.0</v>
      </c>
      <c r="L39" s="66">
        <v>0.0</v>
      </c>
      <c r="M39" s="66">
        <v>0.0</v>
      </c>
      <c r="N39" s="66">
        <v>0.0</v>
      </c>
      <c r="O39" s="66">
        <v>0.0</v>
      </c>
      <c r="P39" s="66">
        <v>0.0</v>
      </c>
      <c r="Q39" s="66">
        <v>0.0</v>
      </c>
      <c r="R39" s="66">
        <v>0.0</v>
      </c>
      <c r="S39" s="66">
        <v>0.0</v>
      </c>
      <c r="T39" s="66">
        <v>0.0</v>
      </c>
      <c r="U39" s="66">
        <v>3.0</v>
      </c>
      <c r="V39" s="66">
        <v>0.0</v>
      </c>
      <c r="W39" s="66">
        <v>0.0</v>
      </c>
      <c r="X39" s="75">
        <v>0.0</v>
      </c>
    </row>
    <row r="40" ht="15.75" customHeight="1">
      <c r="A40" s="77">
        <v>3.0</v>
      </c>
      <c r="B40" s="78">
        <v>45782.0</v>
      </c>
      <c r="C40" s="88">
        <v>0.8333333333333334</v>
      </c>
      <c r="D40" s="81" t="s">
        <v>54</v>
      </c>
      <c r="E40" s="81" t="s">
        <v>56</v>
      </c>
      <c r="F40" s="81" t="s">
        <v>44</v>
      </c>
      <c r="G40" s="82"/>
      <c r="H40" s="89">
        <f t="shared" ref="H40:X40" si="12">SUBTOTAL(109,H28:H39)</f>
        <v>46</v>
      </c>
      <c r="I40" s="90">
        <f t="shared" si="12"/>
        <v>44</v>
      </c>
      <c r="J40" s="90">
        <f t="shared" si="12"/>
        <v>28</v>
      </c>
      <c r="K40" s="89">
        <f t="shared" si="12"/>
        <v>18</v>
      </c>
      <c r="L40" s="90">
        <f t="shared" si="12"/>
        <v>6</v>
      </c>
      <c r="M40" s="90">
        <f t="shared" si="12"/>
        <v>1</v>
      </c>
      <c r="N40" s="90">
        <f t="shared" si="12"/>
        <v>1</v>
      </c>
      <c r="O40" s="90">
        <f t="shared" si="12"/>
        <v>2</v>
      </c>
      <c r="P40" s="90">
        <f t="shared" si="12"/>
        <v>0</v>
      </c>
      <c r="Q40" s="90">
        <f t="shared" si="12"/>
        <v>1</v>
      </c>
      <c r="R40" s="90">
        <f t="shared" si="12"/>
        <v>1</v>
      </c>
      <c r="S40" s="90">
        <f t="shared" si="12"/>
        <v>0</v>
      </c>
      <c r="T40" s="90">
        <f t="shared" si="12"/>
        <v>1</v>
      </c>
      <c r="U40" s="90">
        <f t="shared" si="12"/>
        <v>4</v>
      </c>
      <c r="V40" s="90">
        <f t="shared" si="12"/>
        <v>11</v>
      </c>
      <c r="W40" s="90">
        <f t="shared" si="12"/>
        <v>20</v>
      </c>
      <c r="X40" s="91">
        <f t="shared" si="12"/>
        <v>20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ht="15.75" customHeight="1">
      <c r="A41" s="58">
        <v>4.0</v>
      </c>
      <c r="B41" s="59">
        <v>45791.0</v>
      </c>
      <c r="C41" s="86">
        <v>0.8333333333333334</v>
      </c>
      <c r="D41" s="62" t="s">
        <v>54</v>
      </c>
      <c r="E41" s="62" t="s">
        <v>57</v>
      </c>
      <c r="F41" s="62" t="s">
        <v>28</v>
      </c>
      <c r="G41" s="67">
        <v>1.0</v>
      </c>
      <c r="H41" s="64">
        <f t="shared" ref="H41:H51" si="13">SUM(K41:V41)</f>
        <v>5</v>
      </c>
      <c r="I41" s="65">
        <f t="shared" ref="I41:I51" si="14">SUM(K41:P41,S41:V41)</f>
        <v>5</v>
      </c>
      <c r="J41" s="67">
        <f t="shared" ref="J41:J51" si="15">SUM(K41:O41)</f>
        <v>4</v>
      </c>
      <c r="K41" s="64">
        <v>2.0</v>
      </c>
      <c r="L41" s="65">
        <v>0.0</v>
      </c>
      <c r="M41" s="65">
        <v>1.0</v>
      </c>
      <c r="N41" s="65">
        <v>1.0</v>
      </c>
      <c r="O41" s="65">
        <v>0.0</v>
      </c>
      <c r="P41" s="65">
        <v>0.0</v>
      </c>
      <c r="Q41" s="65">
        <v>0.0</v>
      </c>
      <c r="R41" s="65">
        <v>0.0</v>
      </c>
      <c r="S41" s="65">
        <v>0.0</v>
      </c>
      <c r="T41" s="65">
        <v>0.0</v>
      </c>
      <c r="U41" s="65">
        <v>0.0</v>
      </c>
      <c r="V41" s="65">
        <v>1.0</v>
      </c>
      <c r="W41" s="65">
        <v>4.0</v>
      </c>
      <c r="X41" s="67">
        <v>5.0</v>
      </c>
    </row>
    <row r="42" ht="15.75" customHeight="1">
      <c r="A42" s="68">
        <v>4.0</v>
      </c>
      <c r="B42" s="69">
        <v>45791.0</v>
      </c>
      <c r="C42" s="87">
        <v>0.8333333333333334</v>
      </c>
      <c r="D42" s="72" t="s">
        <v>54</v>
      </c>
      <c r="E42" s="72" t="s">
        <v>57</v>
      </c>
      <c r="F42" s="72" t="s">
        <v>26</v>
      </c>
      <c r="G42" s="75">
        <v>2.0</v>
      </c>
      <c r="H42" s="74">
        <f t="shared" si="13"/>
        <v>5</v>
      </c>
      <c r="I42" s="66">
        <f t="shared" si="14"/>
        <v>3</v>
      </c>
      <c r="J42" s="75">
        <f t="shared" si="15"/>
        <v>3</v>
      </c>
      <c r="K42" s="74">
        <v>1.0</v>
      </c>
      <c r="L42" s="66">
        <v>1.0</v>
      </c>
      <c r="M42" s="66">
        <v>0.0</v>
      </c>
      <c r="N42" s="66">
        <v>0.0</v>
      </c>
      <c r="O42" s="66">
        <v>1.0</v>
      </c>
      <c r="P42" s="66">
        <v>0.0</v>
      </c>
      <c r="Q42" s="66">
        <v>0.0</v>
      </c>
      <c r="R42" s="66">
        <v>2.0</v>
      </c>
      <c r="S42" s="66">
        <v>0.0</v>
      </c>
      <c r="T42" s="66">
        <v>0.0</v>
      </c>
      <c r="U42" s="66">
        <v>0.0</v>
      </c>
      <c r="V42" s="66">
        <v>0.0</v>
      </c>
      <c r="W42" s="66">
        <v>3.0</v>
      </c>
      <c r="X42" s="75">
        <v>5.0</v>
      </c>
    </row>
    <row r="43" ht="15.75" customHeight="1">
      <c r="A43" s="68">
        <v>4.0</v>
      </c>
      <c r="B43" s="69">
        <v>45791.0</v>
      </c>
      <c r="C43" s="87">
        <v>0.8333333333333334</v>
      </c>
      <c r="D43" s="72" t="s">
        <v>54</v>
      </c>
      <c r="E43" s="72" t="s">
        <v>57</v>
      </c>
      <c r="F43" s="72" t="s">
        <v>32</v>
      </c>
      <c r="G43" s="75">
        <v>3.0</v>
      </c>
      <c r="H43" s="74">
        <f t="shared" si="13"/>
        <v>5</v>
      </c>
      <c r="I43" s="66">
        <f t="shared" si="14"/>
        <v>4</v>
      </c>
      <c r="J43" s="75">
        <f t="shared" si="15"/>
        <v>3</v>
      </c>
      <c r="K43" s="74">
        <v>0.0</v>
      </c>
      <c r="L43" s="66">
        <v>1.0</v>
      </c>
      <c r="M43" s="66">
        <v>2.0</v>
      </c>
      <c r="N43" s="66">
        <v>0.0</v>
      </c>
      <c r="O43" s="66">
        <v>0.0</v>
      </c>
      <c r="P43" s="66">
        <v>0.0</v>
      </c>
      <c r="Q43" s="66">
        <v>0.0</v>
      </c>
      <c r="R43" s="66">
        <v>1.0</v>
      </c>
      <c r="S43" s="66">
        <v>0.0</v>
      </c>
      <c r="T43" s="66">
        <v>0.0</v>
      </c>
      <c r="U43" s="66">
        <v>0.0</v>
      </c>
      <c r="V43" s="66">
        <v>1.0</v>
      </c>
      <c r="W43" s="66">
        <v>3.0</v>
      </c>
      <c r="X43" s="75">
        <v>4.0</v>
      </c>
    </row>
    <row r="44" ht="15.75" customHeight="1">
      <c r="A44" s="68">
        <v>4.0</v>
      </c>
      <c r="B44" s="69">
        <v>45791.0</v>
      </c>
      <c r="C44" s="87">
        <v>0.8333333333333334</v>
      </c>
      <c r="D44" s="72" t="s">
        <v>54</v>
      </c>
      <c r="E44" s="72" t="s">
        <v>57</v>
      </c>
      <c r="F44" s="72" t="s">
        <v>35</v>
      </c>
      <c r="G44" s="75">
        <v>4.0</v>
      </c>
      <c r="H44" s="74">
        <f t="shared" si="13"/>
        <v>5</v>
      </c>
      <c r="I44" s="66">
        <f t="shared" si="14"/>
        <v>5</v>
      </c>
      <c r="J44" s="75">
        <f t="shared" si="15"/>
        <v>4</v>
      </c>
      <c r="K44" s="74">
        <v>3.0</v>
      </c>
      <c r="L44" s="66">
        <v>0.0</v>
      </c>
      <c r="M44" s="66">
        <v>0.0</v>
      </c>
      <c r="N44" s="66">
        <v>0.0</v>
      </c>
      <c r="O44" s="66">
        <v>1.0</v>
      </c>
      <c r="P44" s="66">
        <v>0.0</v>
      </c>
      <c r="Q44" s="66">
        <v>0.0</v>
      </c>
      <c r="R44" s="66">
        <v>0.0</v>
      </c>
      <c r="S44" s="66">
        <v>0.0</v>
      </c>
      <c r="T44" s="66">
        <v>0.0</v>
      </c>
      <c r="U44" s="66">
        <v>0.0</v>
      </c>
      <c r="V44" s="66">
        <v>1.0</v>
      </c>
      <c r="W44" s="66">
        <v>4.0</v>
      </c>
      <c r="X44" s="75">
        <v>4.0</v>
      </c>
    </row>
    <row r="45" ht="15.75" customHeight="1">
      <c r="A45" s="68">
        <v>4.0</v>
      </c>
      <c r="B45" s="69">
        <v>45791.0</v>
      </c>
      <c r="C45" s="87">
        <v>0.8333333333333334</v>
      </c>
      <c r="D45" s="72" t="s">
        <v>54</v>
      </c>
      <c r="E45" s="72" t="s">
        <v>57</v>
      </c>
      <c r="F45" s="72" t="s">
        <v>25</v>
      </c>
      <c r="G45" s="75">
        <v>5.0</v>
      </c>
      <c r="H45" s="74">
        <f t="shared" si="13"/>
        <v>5</v>
      </c>
      <c r="I45" s="66">
        <f t="shared" si="14"/>
        <v>5</v>
      </c>
      <c r="J45" s="75">
        <f t="shared" si="15"/>
        <v>4</v>
      </c>
      <c r="K45" s="74">
        <v>3.0</v>
      </c>
      <c r="L45" s="66">
        <v>0.0</v>
      </c>
      <c r="M45" s="66">
        <v>1.0</v>
      </c>
      <c r="N45" s="66">
        <v>0.0</v>
      </c>
      <c r="O45" s="66">
        <v>0.0</v>
      </c>
      <c r="P45" s="66">
        <v>0.0</v>
      </c>
      <c r="Q45" s="66">
        <v>0.0</v>
      </c>
      <c r="R45" s="66">
        <v>0.0</v>
      </c>
      <c r="S45" s="66">
        <v>0.0</v>
      </c>
      <c r="T45" s="66">
        <v>0.0</v>
      </c>
      <c r="U45" s="66">
        <v>0.0</v>
      </c>
      <c r="V45" s="66">
        <v>1.0</v>
      </c>
      <c r="W45" s="66">
        <v>0.0</v>
      </c>
      <c r="X45" s="75">
        <v>3.0</v>
      </c>
    </row>
    <row r="46" ht="15.75" customHeight="1">
      <c r="A46" s="68">
        <v>4.0</v>
      </c>
      <c r="B46" s="69">
        <v>45791.0</v>
      </c>
      <c r="C46" s="87">
        <v>0.8333333333333334</v>
      </c>
      <c r="D46" s="72" t="s">
        <v>54</v>
      </c>
      <c r="E46" s="72" t="s">
        <v>57</v>
      </c>
      <c r="F46" s="72" t="s">
        <v>33</v>
      </c>
      <c r="G46" s="75">
        <v>6.0</v>
      </c>
      <c r="H46" s="74">
        <f t="shared" si="13"/>
        <v>5</v>
      </c>
      <c r="I46" s="66">
        <f t="shared" si="14"/>
        <v>5</v>
      </c>
      <c r="J46" s="75">
        <f t="shared" si="15"/>
        <v>3</v>
      </c>
      <c r="K46" s="74">
        <v>3.0</v>
      </c>
      <c r="L46" s="66">
        <v>0.0</v>
      </c>
      <c r="M46" s="66">
        <v>0.0</v>
      </c>
      <c r="N46" s="66">
        <v>0.0</v>
      </c>
      <c r="O46" s="66">
        <v>0.0</v>
      </c>
      <c r="P46" s="66">
        <v>0.0</v>
      </c>
      <c r="Q46" s="66">
        <v>0.0</v>
      </c>
      <c r="R46" s="66">
        <v>0.0</v>
      </c>
      <c r="S46" s="66">
        <v>0.0</v>
      </c>
      <c r="T46" s="66">
        <v>0.0</v>
      </c>
      <c r="U46" s="66">
        <v>0.0</v>
      </c>
      <c r="V46" s="66">
        <v>2.0</v>
      </c>
      <c r="W46" s="66">
        <v>0.0</v>
      </c>
      <c r="X46" s="75">
        <v>0.0</v>
      </c>
    </row>
    <row r="47" ht="15.75" customHeight="1">
      <c r="A47" s="68">
        <v>4.0</v>
      </c>
      <c r="B47" s="69">
        <v>45791.0</v>
      </c>
      <c r="C47" s="87">
        <v>0.8333333333333334</v>
      </c>
      <c r="D47" s="72" t="s">
        <v>54</v>
      </c>
      <c r="E47" s="72" t="s">
        <v>57</v>
      </c>
      <c r="F47" s="72" t="s">
        <v>39</v>
      </c>
      <c r="G47" s="75">
        <v>7.0</v>
      </c>
      <c r="H47" s="74">
        <f t="shared" si="13"/>
        <v>5</v>
      </c>
      <c r="I47" s="66">
        <f t="shared" si="14"/>
        <v>5</v>
      </c>
      <c r="J47" s="75">
        <f t="shared" si="15"/>
        <v>3</v>
      </c>
      <c r="K47" s="74">
        <v>3.0</v>
      </c>
      <c r="L47" s="66">
        <v>0.0</v>
      </c>
      <c r="M47" s="66">
        <v>0.0</v>
      </c>
      <c r="N47" s="66">
        <v>0.0</v>
      </c>
      <c r="O47" s="66">
        <v>0.0</v>
      </c>
      <c r="P47" s="66">
        <v>0.0</v>
      </c>
      <c r="Q47" s="66">
        <v>0.0</v>
      </c>
      <c r="R47" s="66">
        <v>0.0</v>
      </c>
      <c r="S47" s="66">
        <v>0.0</v>
      </c>
      <c r="T47" s="66">
        <v>0.0</v>
      </c>
      <c r="U47" s="66">
        <v>0.0</v>
      </c>
      <c r="V47" s="66">
        <v>2.0</v>
      </c>
      <c r="W47" s="66">
        <v>1.0</v>
      </c>
      <c r="X47" s="75">
        <v>2.0</v>
      </c>
    </row>
    <row r="48" ht="15.75" customHeight="1">
      <c r="A48" s="68">
        <v>4.0</v>
      </c>
      <c r="B48" s="69">
        <v>45791.0</v>
      </c>
      <c r="C48" s="87">
        <v>0.8333333333333334</v>
      </c>
      <c r="D48" s="72" t="s">
        <v>54</v>
      </c>
      <c r="E48" s="72" t="s">
        <v>57</v>
      </c>
      <c r="F48" s="72" t="s">
        <v>36</v>
      </c>
      <c r="G48" s="75">
        <v>8.0</v>
      </c>
      <c r="H48" s="74">
        <f t="shared" si="13"/>
        <v>5</v>
      </c>
      <c r="I48" s="66">
        <f t="shared" si="14"/>
        <v>5</v>
      </c>
      <c r="J48" s="75">
        <f t="shared" si="15"/>
        <v>1</v>
      </c>
      <c r="K48" s="74">
        <v>0.0</v>
      </c>
      <c r="L48" s="66">
        <v>1.0</v>
      </c>
      <c r="M48" s="66">
        <v>0.0</v>
      </c>
      <c r="N48" s="66">
        <v>0.0</v>
      </c>
      <c r="O48" s="66">
        <v>0.0</v>
      </c>
      <c r="P48" s="66">
        <v>1.0</v>
      </c>
      <c r="Q48" s="66">
        <v>0.0</v>
      </c>
      <c r="R48" s="66">
        <v>0.0</v>
      </c>
      <c r="S48" s="66">
        <v>0.0</v>
      </c>
      <c r="T48" s="66">
        <v>0.0</v>
      </c>
      <c r="U48" s="66">
        <v>0.0</v>
      </c>
      <c r="V48" s="66">
        <v>3.0</v>
      </c>
      <c r="W48" s="66">
        <v>1.0</v>
      </c>
      <c r="X48" s="75">
        <v>0.0</v>
      </c>
    </row>
    <row r="49" ht="15.75" customHeight="1">
      <c r="A49" s="68">
        <v>4.0</v>
      </c>
      <c r="B49" s="69">
        <v>45791.0</v>
      </c>
      <c r="C49" s="87">
        <v>0.8333333333333334</v>
      </c>
      <c r="D49" s="72" t="s">
        <v>54</v>
      </c>
      <c r="E49" s="72" t="s">
        <v>57</v>
      </c>
      <c r="F49" s="72" t="s">
        <v>29</v>
      </c>
      <c r="G49" s="75">
        <v>9.0</v>
      </c>
      <c r="H49" s="74">
        <f t="shared" si="13"/>
        <v>4</v>
      </c>
      <c r="I49" s="66">
        <f t="shared" si="14"/>
        <v>4</v>
      </c>
      <c r="J49" s="75">
        <f t="shared" si="15"/>
        <v>3</v>
      </c>
      <c r="K49" s="74">
        <v>3.0</v>
      </c>
      <c r="L49" s="66">
        <v>0.0</v>
      </c>
      <c r="M49" s="66">
        <v>0.0</v>
      </c>
      <c r="N49" s="66">
        <v>0.0</v>
      </c>
      <c r="O49" s="66">
        <v>0.0</v>
      </c>
      <c r="P49" s="66">
        <v>0.0</v>
      </c>
      <c r="Q49" s="66">
        <v>0.0</v>
      </c>
      <c r="R49" s="66">
        <v>0.0</v>
      </c>
      <c r="S49" s="66">
        <v>0.0</v>
      </c>
      <c r="T49" s="66">
        <v>0.0</v>
      </c>
      <c r="U49" s="66">
        <v>0.0</v>
      </c>
      <c r="V49" s="66">
        <v>1.0</v>
      </c>
      <c r="W49" s="66">
        <v>3.0</v>
      </c>
      <c r="X49" s="75">
        <v>1.0</v>
      </c>
    </row>
    <row r="50" ht="15.75" customHeight="1">
      <c r="A50" s="68">
        <v>4.0</v>
      </c>
      <c r="B50" s="69">
        <v>45791.0</v>
      </c>
      <c r="C50" s="87">
        <v>0.8333333333333334</v>
      </c>
      <c r="D50" s="72" t="s">
        <v>54</v>
      </c>
      <c r="E50" s="72" t="s">
        <v>57</v>
      </c>
      <c r="F50" s="72" t="s">
        <v>37</v>
      </c>
      <c r="G50" s="75">
        <v>10.0</v>
      </c>
      <c r="H50" s="74">
        <f t="shared" si="13"/>
        <v>4</v>
      </c>
      <c r="I50" s="66">
        <f t="shared" si="14"/>
        <v>4</v>
      </c>
      <c r="J50" s="75">
        <f t="shared" si="15"/>
        <v>2</v>
      </c>
      <c r="K50" s="74">
        <v>2.0</v>
      </c>
      <c r="L50" s="66">
        <v>0.0</v>
      </c>
      <c r="M50" s="66">
        <v>0.0</v>
      </c>
      <c r="N50" s="66">
        <v>0.0</v>
      </c>
      <c r="O50" s="66">
        <v>0.0</v>
      </c>
      <c r="P50" s="66">
        <v>0.0</v>
      </c>
      <c r="Q50" s="66">
        <v>0.0</v>
      </c>
      <c r="R50" s="66">
        <v>0.0</v>
      </c>
      <c r="S50" s="66">
        <v>0.0</v>
      </c>
      <c r="T50" s="66">
        <v>0.0</v>
      </c>
      <c r="U50" s="66">
        <v>0.0</v>
      </c>
      <c r="V50" s="66">
        <v>2.0</v>
      </c>
      <c r="W50" s="66">
        <v>2.0</v>
      </c>
      <c r="X50" s="75">
        <v>1.0</v>
      </c>
    </row>
    <row r="51" ht="15.75" customHeight="1">
      <c r="A51" s="68">
        <v>4.0</v>
      </c>
      <c r="B51" s="69">
        <v>45791.0</v>
      </c>
      <c r="C51" s="87">
        <v>0.8333333333333334</v>
      </c>
      <c r="D51" s="72" t="s">
        <v>54</v>
      </c>
      <c r="E51" s="72" t="s">
        <v>57</v>
      </c>
      <c r="F51" s="72" t="s">
        <v>38</v>
      </c>
      <c r="G51" s="75">
        <v>11.0</v>
      </c>
      <c r="H51" s="74">
        <f t="shared" si="13"/>
        <v>4</v>
      </c>
      <c r="I51" s="66">
        <f t="shared" si="14"/>
        <v>4</v>
      </c>
      <c r="J51" s="75">
        <f t="shared" si="15"/>
        <v>3</v>
      </c>
      <c r="K51" s="74">
        <v>3.0</v>
      </c>
      <c r="L51" s="66">
        <v>0.0</v>
      </c>
      <c r="M51" s="66">
        <v>0.0</v>
      </c>
      <c r="N51" s="66">
        <v>0.0</v>
      </c>
      <c r="O51" s="66">
        <v>0.0</v>
      </c>
      <c r="P51" s="66">
        <v>1.0</v>
      </c>
      <c r="Q51" s="66">
        <v>0.0</v>
      </c>
      <c r="R51" s="66">
        <v>0.0</v>
      </c>
      <c r="S51" s="66">
        <v>0.0</v>
      </c>
      <c r="T51" s="66">
        <v>0.0</v>
      </c>
      <c r="U51" s="66">
        <v>0.0</v>
      </c>
      <c r="V51" s="66">
        <v>0.0</v>
      </c>
      <c r="W51" s="66">
        <v>4.0</v>
      </c>
      <c r="X51" s="75">
        <v>0.0</v>
      </c>
    </row>
    <row r="52" ht="15.75" customHeight="1">
      <c r="A52" s="77">
        <v>4.0</v>
      </c>
      <c r="B52" s="78">
        <v>45791.0</v>
      </c>
      <c r="C52" s="88">
        <v>0.8333333333333334</v>
      </c>
      <c r="D52" s="81" t="s">
        <v>54</v>
      </c>
      <c r="E52" s="81" t="s">
        <v>57</v>
      </c>
      <c r="F52" s="81" t="s">
        <v>44</v>
      </c>
      <c r="G52" s="82"/>
      <c r="H52" s="89">
        <f t="shared" ref="H52:X52" si="16">SUBTOTAL(109,H41:H51)</f>
        <v>52</v>
      </c>
      <c r="I52" s="90">
        <f t="shared" si="16"/>
        <v>49</v>
      </c>
      <c r="J52" s="90">
        <f t="shared" si="16"/>
        <v>33</v>
      </c>
      <c r="K52" s="89">
        <f t="shared" si="16"/>
        <v>23</v>
      </c>
      <c r="L52" s="90">
        <f t="shared" si="16"/>
        <v>3</v>
      </c>
      <c r="M52" s="90">
        <f t="shared" si="16"/>
        <v>4</v>
      </c>
      <c r="N52" s="90">
        <f t="shared" si="16"/>
        <v>1</v>
      </c>
      <c r="O52" s="90">
        <f t="shared" si="16"/>
        <v>2</v>
      </c>
      <c r="P52" s="90">
        <f t="shared" si="16"/>
        <v>2</v>
      </c>
      <c r="Q52" s="90">
        <f t="shared" si="16"/>
        <v>0</v>
      </c>
      <c r="R52" s="90">
        <f t="shared" si="16"/>
        <v>3</v>
      </c>
      <c r="S52" s="90">
        <f t="shared" si="16"/>
        <v>0</v>
      </c>
      <c r="T52" s="90">
        <f t="shared" si="16"/>
        <v>0</v>
      </c>
      <c r="U52" s="90">
        <f t="shared" si="16"/>
        <v>0</v>
      </c>
      <c r="V52" s="90">
        <f t="shared" si="16"/>
        <v>14</v>
      </c>
      <c r="W52" s="90">
        <f t="shared" si="16"/>
        <v>25</v>
      </c>
      <c r="X52" s="91">
        <f t="shared" si="16"/>
        <v>25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ht="15.75" customHeight="1">
      <c r="A53" s="58">
        <v>5.0</v>
      </c>
      <c r="B53" s="59">
        <v>45797.0</v>
      </c>
      <c r="C53" s="86">
        <v>0.8958333333333334</v>
      </c>
      <c r="D53" s="62" t="s">
        <v>58</v>
      </c>
      <c r="E53" s="62" t="s">
        <v>59</v>
      </c>
      <c r="F53" s="62" t="s">
        <v>27</v>
      </c>
      <c r="G53" s="67">
        <v>1.0</v>
      </c>
      <c r="H53" s="64">
        <f t="shared" ref="H53:H64" si="17">SUM(K53:V53)</f>
        <v>4</v>
      </c>
      <c r="I53" s="65">
        <f t="shared" ref="I53:I64" si="18">SUM(K53:P53,S53:V53)</f>
        <v>4</v>
      </c>
      <c r="J53" s="67">
        <f t="shared" ref="J53:J64" si="19">SUM(K53:O53)</f>
        <v>3</v>
      </c>
      <c r="K53" s="64">
        <v>2.0</v>
      </c>
      <c r="L53" s="65">
        <v>1.0</v>
      </c>
      <c r="M53" s="65">
        <v>0.0</v>
      </c>
      <c r="N53" s="65">
        <v>0.0</v>
      </c>
      <c r="O53" s="65">
        <v>0.0</v>
      </c>
      <c r="P53" s="65">
        <v>0.0</v>
      </c>
      <c r="Q53" s="65">
        <v>0.0</v>
      </c>
      <c r="R53" s="65">
        <v>0.0</v>
      </c>
      <c r="S53" s="65">
        <v>0.0</v>
      </c>
      <c r="T53" s="65">
        <v>0.0</v>
      </c>
      <c r="U53" s="65">
        <v>0.0</v>
      </c>
      <c r="V53" s="65">
        <v>1.0</v>
      </c>
      <c r="W53" s="65">
        <v>2.0</v>
      </c>
      <c r="X53" s="67">
        <v>1.0</v>
      </c>
    </row>
    <row r="54" ht="15.75" customHeight="1">
      <c r="A54" s="68">
        <v>5.0</v>
      </c>
      <c r="B54" s="69">
        <v>45797.0</v>
      </c>
      <c r="C54" s="87">
        <v>0.8958333333333334</v>
      </c>
      <c r="D54" s="72" t="s">
        <v>58</v>
      </c>
      <c r="E54" s="72" t="s">
        <v>59</v>
      </c>
      <c r="F54" s="72" t="s">
        <v>25</v>
      </c>
      <c r="G54" s="75">
        <v>2.0</v>
      </c>
      <c r="H54" s="74">
        <f t="shared" si="17"/>
        <v>4</v>
      </c>
      <c r="I54" s="66">
        <f t="shared" si="18"/>
        <v>4</v>
      </c>
      <c r="J54" s="75">
        <f t="shared" si="19"/>
        <v>4</v>
      </c>
      <c r="K54" s="74">
        <v>4.0</v>
      </c>
      <c r="L54" s="66">
        <v>0.0</v>
      </c>
      <c r="M54" s="66">
        <v>0.0</v>
      </c>
      <c r="N54" s="66">
        <v>0.0</v>
      </c>
      <c r="O54" s="66">
        <v>0.0</v>
      </c>
      <c r="P54" s="66">
        <v>0.0</v>
      </c>
      <c r="Q54" s="66">
        <v>0.0</v>
      </c>
      <c r="R54" s="66">
        <v>0.0</v>
      </c>
      <c r="S54" s="66">
        <v>0.0</v>
      </c>
      <c r="T54" s="66">
        <v>0.0</v>
      </c>
      <c r="U54" s="66">
        <v>0.0</v>
      </c>
      <c r="V54" s="66">
        <v>0.0</v>
      </c>
      <c r="W54" s="66">
        <v>3.0</v>
      </c>
      <c r="X54" s="75">
        <v>2.0</v>
      </c>
    </row>
    <row r="55" ht="15.75" customHeight="1">
      <c r="A55" s="68">
        <v>5.0</v>
      </c>
      <c r="B55" s="69">
        <v>45797.0</v>
      </c>
      <c r="C55" s="87">
        <v>0.8958333333333334</v>
      </c>
      <c r="D55" s="72" t="s">
        <v>58</v>
      </c>
      <c r="E55" s="72" t="s">
        <v>59</v>
      </c>
      <c r="F55" s="72" t="s">
        <v>35</v>
      </c>
      <c r="G55" s="75">
        <v>3.0</v>
      </c>
      <c r="H55" s="74">
        <f t="shared" si="17"/>
        <v>4</v>
      </c>
      <c r="I55" s="66">
        <f t="shared" si="18"/>
        <v>4</v>
      </c>
      <c r="J55" s="75">
        <f t="shared" si="19"/>
        <v>1</v>
      </c>
      <c r="K55" s="74">
        <v>1.0</v>
      </c>
      <c r="L55" s="66">
        <v>0.0</v>
      </c>
      <c r="M55" s="66">
        <v>0.0</v>
      </c>
      <c r="N55" s="66">
        <v>0.0</v>
      </c>
      <c r="O55" s="66">
        <v>0.0</v>
      </c>
      <c r="P55" s="66">
        <v>0.0</v>
      </c>
      <c r="Q55" s="66">
        <v>0.0</v>
      </c>
      <c r="R55" s="66">
        <v>0.0</v>
      </c>
      <c r="S55" s="66">
        <v>0.0</v>
      </c>
      <c r="T55" s="66">
        <v>0.0</v>
      </c>
      <c r="U55" s="66">
        <v>0.0</v>
      </c>
      <c r="V55" s="66">
        <v>3.0</v>
      </c>
      <c r="W55" s="66">
        <v>1.0</v>
      </c>
      <c r="X55" s="75">
        <v>1.0</v>
      </c>
    </row>
    <row r="56" ht="15.75" customHeight="1">
      <c r="A56" s="68">
        <v>5.0</v>
      </c>
      <c r="B56" s="69">
        <v>45797.0</v>
      </c>
      <c r="C56" s="87">
        <v>0.8958333333333334</v>
      </c>
      <c r="D56" s="72" t="s">
        <v>58</v>
      </c>
      <c r="E56" s="72" t="s">
        <v>59</v>
      </c>
      <c r="F56" s="72" t="s">
        <v>30</v>
      </c>
      <c r="G56" s="75">
        <v>4.0</v>
      </c>
      <c r="H56" s="74">
        <f t="shared" si="17"/>
        <v>3</v>
      </c>
      <c r="I56" s="66">
        <f t="shared" si="18"/>
        <v>2</v>
      </c>
      <c r="J56" s="75">
        <f t="shared" si="19"/>
        <v>1</v>
      </c>
      <c r="K56" s="74">
        <v>0.0</v>
      </c>
      <c r="L56" s="66">
        <v>1.0</v>
      </c>
      <c r="M56" s="66">
        <v>0.0</v>
      </c>
      <c r="N56" s="66">
        <v>0.0</v>
      </c>
      <c r="O56" s="66">
        <v>0.0</v>
      </c>
      <c r="P56" s="66">
        <v>0.0</v>
      </c>
      <c r="Q56" s="66">
        <v>1.0</v>
      </c>
      <c r="R56" s="66">
        <v>0.0</v>
      </c>
      <c r="S56" s="66">
        <v>0.0</v>
      </c>
      <c r="T56" s="66">
        <v>1.0</v>
      </c>
      <c r="U56" s="66">
        <v>0.0</v>
      </c>
      <c r="V56" s="66">
        <v>0.0</v>
      </c>
      <c r="W56" s="66">
        <v>2.0</v>
      </c>
      <c r="X56" s="75">
        <v>1.0</v>
      </c>
    </row>
    <row r="57" ht="15.75" customHeight="1">
      <c r="A57" s="68">
        <v>5.0</v>
      </c>
      <c r="B57" s="69">
        <v>45797.0</v>
      </c>
      <c r="C57" s="87">
        <v>0.8958333333333334</v>
      </c>
      <c r="D57" s="72" t="s">
        <v>58</v>
      </c>
      <c r="E57" s="72" t="s">
        <v>59</v>
      </c>
      <c r="F57" s="72" t="s">
        <v>33</v>
      </c>
      <c r="G57" s="75">
        <v>5.0</v>
      </c>
      <c r="H57" s="74">
        <f t="shared" si="17"/>
        <v>3</v>
      </c>
      <c r="I57" s="66">
        <f t="shared" si="18"/>
        <v>3</v>
      </c>
      <c r="J57" s="75">
        <f t="shared" si="19"/>
        <v>3</v>
      </c>
      <c r="K57" s="74">
        <v>1.0</v>
      </c>
      <c r="L57" s="66">
        <v>2.0</v>
      </c>
      <c r="M57" s="66">
        <v>0.0</v>
      </c>
      <c r="N57" s="66">
        <v>0.0</v>
      </c>
      <c r="O57" s="66">
        <v>0.0</v>
      </c>
      <c r="P57" s="66">
        <v>0.0</v>
      </c>
      <c r="Q57" s="66">
        <v>0.0</v>
      </c>
      <c r="R57" s="66">
        <v>0.0</v>
      </c>
      <c r="S57" s="66">
        <v>0.0</v>
      </c>
      <c r="T57" s="66">
        <v>0.0</v>
      </c>
      <c r="U57" s="66">
        <v>0.0</v>
      </c>
      <c r="V57" s="66">
        <v>0.0</v>
      </c>
      <c r="W57" s="66">
        <v>2.0</v>
      </c>
      <c r="X57" s="75">
        <v>6.0</v>
      </c>
    </row>
    <row r="58" ht="15.75" customHeight="1">
      <c r="A58" s="68">
        <v>5.0</v>
      </c>
      <c r="B58" s="69">
        <v>45797.0</v>
      </c>
      <c r="C58" s="87">
        <v>0.8958333333333334</v>
      </c>
      <c r="D58" s="72" t="s">
        <v>58</v>
      </c>
      <c r="E58" s="72" t="s">
        <v>59</v>
      </c>
      <c r="F58" s="72" t="s">
        <v>34</v>
      </c>
      <c r="G58" s="75">
        <v>6.0</v>
      </c>
      <c r="H58" s="74">
        <f t="shared" si="17"/>
        <v>3</v>
      </c>
      <c r="I58" s="66">
        <f t="shared" si="18"/>
        <v>3</v>
      </c>
      <c r="J58" s="75">
        <f t="shared" si="19"/>
        <v>2</v>
      </c>
      <c r="K58" s="74">
        <v>2.0</v>
      </c>
      <c r="L58" s="66">
        <v>0.0</v>
      </c>
      <c r="M58" s="66">
        <v>0.0</v>
      </c>
      <c r="N58" s="66">
        <v>0.0</v>
      </c>
      <c r="O58" s="66">
        <v>0.0</v>
      </c>
      <c r="P58" s="66">
        <v>0.0</v>
      </c>
      <c r="Q58" s="66">
        <v>0.0</v>
      </c>
      <c r="R58" s="66">
        <v>0.0</v>
      </c>
      <c r="S58" s="66">
        <v>0.0</v>
      </c>
      <c r="T58" s="66">
        <v>0.0</v>
      </c>
      <c r="U58" s="66">
        <v>0.0</v>
      </c>
      <c r="V58" s="66">
        <v>1.0</v>
      </c>
      <c r="W58" s="66">
        <v>1.0</v>
      </c>
      <c r="X58" s="75">
        <v>2.0</v>
      </c>
    </row>
    <row r="59" ht="15.75" customHeight="1">
      <c r="A59" s="68">
        <v>5.0</v>
      </c>
      <c r="B59" s="69">
        <v>45797.0</v>
      </c>
      <c r="C59" s="87">
        <v>0.8958333333333334</v>
      </c>
      <c r="D59" s="72" t="s">
        <v>58</v>
      </c>
      <c r="E59" s="72" t="s">
        <v>59</v>
      </c>
      <c r="F59" s="72" t="s">
        <v>36</v>
      </c>
      <c r="G59" s="75">
        <v>7.0</v>
      </c>
      <c r="H59" s="74">
        <f t="shared" si="17"/>
        <v>3</v>
      </c>
      <c r="I59" s="66">
        <f t="shared" si="18"/>
        <v>3</v>
      </c>
      <c r="J59" s="75">
        <f t="shared" si="19"/>
        <v>1</v>
      </c>
      <c r="K59" s="74">
        <v>0.0</v>
      </c>
      <c r="L59" s="66">
        <v>0.0</v>
      </c>
      <c r="M59" s="66">
        <v>1.0</v>
      </c>
      <c r="N59" s="66">
        <v>0.0</v>
      </c>
      <c r="O59" s="66">
        <v>0.0</v>
      </c>
      <c r="P59" s="66">
        <v>0.0</v>
      </c>
      <c r="Q59" s="66">
        <v>0.0</v>
      </c>
      <c r="R59" s="66">
        <v>0.0</v>
      </c>
      <c r="S59" s="66">
        <v>0.0</v>
      </c>
      <c r="T59" s="66">
        <v>0.0</v>
      </c>
      <c r="U59" s="66">
        <v>0.0</v>
      </c>
      <c r="V59" s="66">
        <v>2.0</v>
      </c>
      <c r="W59" s="66">
        <v>0.0</v>
      </c>
      <c r="X59" s="75">
        <v>1.0</v>
      </c>
    </row>
    <row r="60" ht="15.75" customHeight="1">
      <c r="A60" s="68">
        <v>5.0</v>
      </c>
      <c r="B60" s="69">
        <v>45797.0</v>
      </c>
      <c r="C60" s="87">
        <v>0.8958333333333334</v>
      </c>
      <c r="D60" s="72" t="s">
        <v>58</v>
      </c>
      <c r="E60" s="72" t="s">
        <v>59</v>
      </c>
      <c r="F60" s="72" t="s">
        <v>31</v>
      </c>
      <c r="G60" s="75">
        <v>8.0</v>
      </c>
      <c r="H60" s="74">
        <f t="shared" si="17"/>
        <v>3</v>
      </c>
      <c r="I60" s="66">
        <f t="shared" si="18"/>
        <v>3</v>
      </c>
      <c r="J60" s="75">
        <f t="shared" si="19"/>
        <v>1</v>
      </c>
      <c r="K60" s="74">
        <v>1.0</v>
      </c>
      <c r="L60" s="66">
        <v>0.0</v>
      </c>
      <c r="M60" s="66">
        <v>0.0</v>
      </c>
      <c r="N60" s="66">
        <v>0.0</v>
      </c>
      <c r="O60" s="66">
        <v>0.0</v>
      </c>
      <c r="P60" s="66">
        <v>0.0</v>
      </c>
      <c r="Q60" s="66">
        <v>0.0</v>
      </c>
      <c r="R60" s="66">
        <v>0.0</v>
      </c>
      <c r="S60" s="66">
        <v>0.0</v>
      </c>
      <c r="T60" s="66">
        <v>0.0</v>
      </c>
      <c r="U60" s="66">
        <v>0.0</v>
      </c>
      <c r="V60" s="66">
        <v>2.0</v>
      </c>
      <c r="W60" s="66">
        <v>1.0</v>
      </c>
      <c r="X60" s="75">
        <v>0.0</v>
      </c>
    </row>
    <row r="61" ht="15.75" customHeight="1">
      <c r="A61" s="68">
        <v>5.0</v>
      </c>
      <c r="B61" s="69">
        <v>45797.0</v>
      </c>
      <c r="C61" s="87">
        <v>0.8958333333333334</v>
      </c>
      <c r="D61" s="72" t="s">
        <v>58</v>
      </c>
      <c r="E61" s="72" t="s">
        <v>59</v>
      </c>
      <c r="F61" s="72" t="s">
        <v>29</v>
      </c>
      <c r="G61" s="75">
        <v>9.0</v>
      </c>
      <c r="H61" s="74">
        <f t="shared" si="17"/>
        <v>3</v>
      </c>
      <c r="I61" s="66">
        <f t="shared" si="18"/>
        <v>3</v>
      </c>
      <c r="J61" s="75">
        <f t="shared" si="19"/>
        <v>2</v>
      </c>
      <c r="K61" s="74">
        <v>1.0</v>
      </c>
      <c r="L61" s="66">
        <v>1.0</v>
      </c>
      <c r="M61" s="66">
        <v>0.0</v>
      </c>
      <c r="N61" s="66">
        <v>0.0</v>
      </c>
      <c r="O61" s="66">
        <v>0.0</v>
      </c>
      <c r="P61" s="66">
        <v>0.0</v>
      </c>
      <c r="Q61" s="66">
        <v>0.0</v>
      </c>
      <c r="R61" s="66">
        <v>0.0</v>
      </c>
      <c r="S61" s="66">
        <v>0.0</v>
      </c>
      <c r="T61" s="66">
        <v>0.0</v>
      </c>
      <c r="U61" s="66">
        <v>0.0</v>
      </c>
      <c r="V61" s="66">
        <v>1.0</v>
      </c>
      <c r="W61" s="66">
        <v>1.0</v>
      </c>
      <c r="X61" s="75">
        <v>0.0</v>
      </c>
    </row>
    <row r="62" ht="15.75" customHeight="1">
      <c r="A62" s="68">
        <v>5.0</v>
      </c>
      <c r="B62" s="69">
        <v>45797.0</v>
      </c>
      <c r="C62" s="87">
        <v>0.8958333333333334</v>
      </c>
      <c r="D62" s="72" t="s">
        <v>58</v>
      </c>
      <c r="E62" s="72" t="s">
        <v>59</v>
      </c>
      <c r="F62" s="72" t="s">
        <v>37</v>
      </c>
      <c r="G62" s="75">
        <v>10.0</v>
      </c>
      <c r="H62" s="74">
        <f t="shared" si="17"/>
        <v>3</v>
      </c>
      <c r="I62" s="66">
        <f t="shared" si="18"/>
        <v>2</v>
      </c>
      <c r="J62" s="75">
        <f t="shared" si="19"/>
        <v>2</v>
      </c>
      <c r="K62" s="74">
        <v>2.0</v>
      </c>
      <c r="L62" s="66">
        <v>0.0</v>
      </c>
      <c r="M62" s="66">
        <v>0.0</v>
      </c>
      <c r="N62" s="66">
        <v>0.0</v>
      </c>
      <c r="O62" s="66">
        <v>0.0</v>
      </c>
      <c r="P62" s="66">
        <v>0.0</v>
      </c>
      <c r="Q62" s="66">
        <v>0.0</v>
      </c>
      <c r="R62" s="66">
        <v>1.0</v>
      </c>
      <c r="S62" s="66">
        <v>0.0</v>
      </c>
      <c r="T62" s="66">
        <v>0.0</v>
      </c>
      <c r="U62" s="66">
        <v>0.0</v>
      </c>
      <c r="V62" s="66">
        <v>0.0</v>
      </c>
      <c r="W62" s="66">
        <v>1.0</v>
      </c>
      <c r="X62" s="75">
        <v>1.0</v>
      </c>
    </row>
    <row r="63" ht="15.75" customHeight="1">
      <c r="A63" s="68">
        <v>5.0</v>
      </c>
      <c r="B63" s="69">
        <v>45797.0</v>
      </c>
      <c r="C63" s="87">
        <v>0.8958333333333334</v>
      </c>
      <c r="D63" s="72" t="s">
        <v>58</v>
      </c>
      <c r="E63" s="72" t="s">
        <v>59</v>
      </c>
      <c r="F63" s="72" t="s">
        <v>40</v>
      </c>
      <c r="G63" s="75">
        <v>11.0</v>
      </c>
      <c r="H63" s="74">
        <f t="shared" si="17"/>
        <v>3</v>
      </c>
      <c r="I63" s="66">
        <f t="shared" si="18"/>
        <v>3</v>
      </c>
      <c r="J63" s="75">
        <f t="shared" si="19"/>
        <v>0</v>
      </c>
      <c r="K63" s="74">
        <v>0.0</v>
      </c>
      <c r="L63" s="66">
        <v>0.0</v>
      </c>
      <c r="M63" s="66">
        <v>0.0</v>
      </c>
      <c r="N63" s="66">
        <v>0.0</v>
      </c>
      <c r="O63" s="66">
        <v>0.0</v>
      </c>
      <c r="P63" s="66">
        <v>0.0</v>
      </c>
      <c r="Q63" s="66">
        <v>0.0</v>
      </c>
      <c r="R63" s="66">
        <v>0.0</v>
      </c>
      <c r="S63" s="66">
        <v>0.0</v>
      </c>
      <c r="T63" s="66">
        <v>0.0</v>
      </c>
      <c r="U63" s="66">
        <v>0.0</v>
      </c>
      <c r="V63" s="66">
        <v>3.0</v>
      </c>
      <c r="W63" s="66">
        <v>0.0</v>
      </c>
      <c r="X63" s="75">
        <v>0.0</v>
      </c>
    </row>
    <row r="64" ht="15.75" customHeight="1">
      <c r="A64" s="68">
        <v>5.0</v>
      </c>
      <c r="B64" s="69">
        <v>45797.0</v>
      </c>
      <c r="C64" s="87">
        <v>0.8958333333333334</v>
      </c>
      <c r="D64" s="72" t="s">
        <v>58</v>
      </c>
      <c r="E64" s="72" t="s">
        <v>59</v>
      </c>
      <c r="F64" s="72" t="s">
        <v>38</v>
      </c>
      <c r="G64" s="75">
        <v>12.0</v>
      </c>
      <c r="H64" s="74">
        <f t="shared" si="17"/>
        <v>3</v>
      </c>
      <c r="I64" s="66">
        <f t="shared" si="18"/>
        <v>3</v>
      </c>
      <c r="J64" s="75">
        <f t="shared" si="19"/>
        <v>1</v>
      </c>
      <c r="K64" s="74">
        <v>1.0</v>
      </c>
      <c r="L64" s="66">
        <v>0.0</v>
      </c>
      <c r="M64" s="66">
        <v>0.0</v>
      </c>
      <c r="N64" s="66">
        <v>0.0</v>
      </c>
      <c r="O64" s="66">
        <v>0.0</v>
      </c>
      <c r="P64" s="66">
        <v>0.0</v>
      </c>
      <c r="Q64" s="66">
        <v>0.0</v>
      </c>
      <c r="R64" s="66">
        <v>0.0</v>
      </c>
      <c r="S64" s="66">
        <v>0.0</v>
      </c>
      <c r="T64" s="66">
        <v>0.0</v>
      </c>
      <c r="U64" s="66">
        <v>0.0</v>
      </c>
      <c r="V64" s="66">
        <v>2.0</v>
      </c>
      <c r="W64" s="66">
        <v>1.0</v>
      </c>
      <c r="X64" s="75">
        <v>0.0</v>
      </c>
    </row>
    <row r="65" ht="15.75" customHeight="1">
      <c r="A65" s="77">
        <v>5.0</v>
      </c>
      <c r="B65" s="78">
        <v>45797.0</v>
      </c>
      <c r="C65" s="88">
        <v>0.8958333333333334</v>
      </c>
      <c r="D65" s="81" t="s">
        <v>58</v>
      </c>
      <c r="E65" s="81" t="s">
        <v>59</v>
      </c>
      <c r="F65" s="81" t="s">
        <v>44</v>
      </c>
      <c r="G65" s="82"/>
      <c r="H65" s="89">
        <f t="shared" ref="H65:X65" si="20">SUBTOTAL(109,H53:H64)</f>
        <v>39</v>
      </c>
      <c r="I65" s="90">
        <f t="shared" si="20"/>
        <v>37</v>
      </c>
      <c r="J65" s="90">
        <f t="shared" si="20"/>
        <v>21</v>
      </c>
      <c r="K65" s="89">
        <f t="shared" si="20"/>
        <v>15</v>
      </c>
      <c r="L65" s="90">
        <f t="shared" si="20"/>
        <v>5</v>
      </c>
      <c r="M65" s="90">
        <f t="shared" si="20"/>
        <v>1</v>
      </c>
      <c r="N65" s="90">
        <f t="shared" si="20"/>
        <v>0</v>
      </c>
      <c r="O65" s="90">
        <f t="shared" si="20"/>
        <v>0</v>
      </c>
      <c r="P65" s="90">
        <f t="shared" si="20"/>
        <v>0</v>
      </c>
      <c r="Q65" s="90">
        <f t="shared" si="20"/>
        <v>1</v>
      </c>
      <c r="R65" s="90">
        <f t="shared" si="20"/>
        <v>1</v>
      </c>
      <c r="S65" s="90">
        <f t="shared" si="20"/>
        <v>0</v>
      </c>
      <c r="T65" s="90">
        <f t="shared" si="20"/>
        <v>1</v>
      </c>
      <c r="U65" s="90">
        <f t="shared" si="20"/>
        <v>0</v>
      </c>
      <c r="V65" s="90">
        <f t="shared" si="20"/>
        <v>15</v>
      </c>
      <c r="W65" s="90">
        <f t="shared" si="20"/>
        <v>15</v>
      </c>
      <c r="X65" s="91">
        <f t="shared" si="20"/>
        <v>15</v>
      </c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ht="15.75" customHeight="1">
      <c r="A66" s="58">
        <v>6.0</v>
      </c>
      <c r="B66" s="59">
        <v>45802.0</v>
      </c>
      <c r="C66" s="86">
        <v>0.8333333333333334</v>
      </c>
      <c r="D66" s="62" t="s">
        <v>58</v>
      </c>
      <c r="E66" s="62" t="s">
        <v>60</v>
      </c>
      <c r="F66" s="62" t="s">
        <v>27</v>
      </c>
      <c r="G66" s="67">
        <v>1.0</v>
      </c>
      <c r="H66" s="64">
        <f t="shared" ref="H66:H76" si="21">SUM(K66:V66)</f>
        <v>3</v>
      </c>
      <c r="I66" s="65">
        <f t="shared" ref="I66:I76" si="22">SUM(K66:P66,S66:V66)</f>
        <v>3</v>
      </c>
      <c r="J66" s="67">
        <f t="shared" ref="J66:J76" si="23">SUM(K66:O66)</f>
        <v>0</v>
      </c>
      <c r="K66" s="64">
        <v>0.0</v>
      </c>
      <c r="L66" s="65">
        <v>0.0</v>
      </c>
      <c r="M66" s="65">
        <v>0.0</v>
      </c>
      <c r="N66" s="65">
        <v>0.0</v>
      </c>
      <c r="O66" s="65">
        <v>0.0</v>
      </c>
      <c r="P66" s="65">
        <v>0.0</v>
      </c>
      <c r="Q66" s="65">
        <v>0.0</v>
      </c>
      <c r="R66" s="65">
        <v>0.0</v>
      </c>
      <c r="S66" s="65">
        <v>0.0</v>
      </c>
      <c r="T66" s="65">
        <v>0.0</v>
      </c>
      <c r="U66" s="65">
        <v>0.0</v>
      </c>
      <c r="V66" s="65">
        <v>3.0</v>
      </c>
      <c r="W66" s="65">
        <v>0.0</v>
      </c>
      <c r="X66" s="67">
        <v>0.0</v>
      </c>
    </row>
    <row r="67" ht="15.75" customHeight="1">
      <c r="A67" s="68">
        <v>6.0</v>
      </c>
      <c r="B67" s="69">
        <v>45802.0</v>
      </c>
      <c r="C67" s="87">
        <v>0.8333333333333334</v>
      </c>
      <c r="D67" s="72" t="s">
        <v>58</v>
      </c>
      <c r="E67" s="72" t="s">
        <v>60</v>
      </c>
      <c r="F67" s="72" t="s">
        <v>25</v>
      </c>
      <c r="G67" s="75">
        <v>2.0</v>
      </c>
      <c r="H67" s="74">
        <f t="shared" si="21"/>
        <v>3</v>
      </c>
      <c r="I67" s="66">
        <f t="shared" si="22"/>
        <v>3</v>
      </c>
      <c r="J67" s="75">
        <f t="shared" si="23"/>
        <v>2</v>
      </c>
      <c r="K67" s="74">
        <v>1.0</v>
      </c>
      <c r="L67" s="66">
        <v>1.0</v>
      </c>
      <c r="M67" s="66">
        <v>0.0</v>
      </c>
      <c r="N67" s="66">
        <v>0.0</v>
      </c>
      <c r="O67" s="66">
        <v>0.0</v>
      </c>
      <c r="P67" s="66">
        <v>0.0</v>
      </c>
      <c r="Q67" s="66">
        <v>0.0</v>
      </c>
      <c r="R67" s="66">
        <v>0.0</v>
      </c>
      <c r="S67" s="66">
        <v>0.0</v>
      </c>
      <c r="T67" s="66">
        <v>0.0</v>
      </c>
      <c r="U67" s="66">
        <v>0.0</v>
      </c>
      <c r="V67" s="66">
        <v>1.0</v>
      </c>
      <c r="W67" s="66">
        <v>1.0</v>
      </c>
      <c r="X67" s="75">
        <v>1.0</v>
      </c>
    </row>
    <row r="68" ht="15.75" customHeight="1">
      <c r="A68" s="68">
        <v>6.0</v>
      </c>
      <c r="B68" s="69">
        <v>45802.0</v>
      </c>
      <c r="C68" s="87">
        <v>0.8333333333333334</v>
      </c>
      <c r="D68" s="72" t="s">
        <v>58</v>
      </c>
      <c r="E68" s="72" t="s">
        <v>60</v>
      </c>
      <c r="F68" s="72" t="s">
        <v>35</v>
      </c>
      <c r="G68" s="75">
        <v>3.0</v>
      </c>
      <c r="H68" s="74">
        <f t="shared" si="21"/>
        <v>3</v>
      </c>
      <c r="I68" s="66">
        <f t="shared" si="22"/>
        <v>3</v>
      </c>
      <c r="J68" s="75">
        <f t="shared" si="23"/>
        <v>2</v>
      </c>
      <c r="K68" s="74">
        <v>2.0</v>
      </c>
      <c r="L68" s="66">
        <v>0.0</v>
      </c>
      <c r="M68" s="66">
        <v>0.0</v>
      </c>
      <c r="N68" s="66">
        <v>0.0</v>
      </c>
      <c r="O68" s="66">
        <v>0.0</v>
      </c>
      <c r="P68" s="66">
        <v>0.0</v>
      </c>
      <c r="Q68" s="66">
        <v>0.0</v>
      </c>
      <c r="R68" s="66">
        <v>0.0</v>
      </c>
      <c r="S68" s="66">
        <v>0.0</v>
      </c>
      <c r="T68" s="66">
        <v>0.0</v>
      </c>
      <c r="U68" s="66">
        <v>0.0</v>
      </c>
      <c r="V68" s="66">
        <v>1.0</v>
      </c>
      <c r="W68" s="66">
        <v>0.0</v>
      </c>
      <c r="X68" s="75">
        <v>1.0</v>
      </c>
    </row>
    <row r="69" ht="15.75" customHeight="1">
      <c r="A69" s="68">
        <v>6.0</v>
      </c>
      <c r="B69" s="69">
        <v>45802.0</v>
      </c>
      <c r="C69" s="87">
        <v>0.8333333333333334</v>
      </c>
      <c r="D69" s="72" t="s">
        <v>58</v>
      </c>
      <c r="E69" s="72" t="s">
        <v>60</v>
      </c>
      <c r="F69" s="72" t="s">
        <v>30</v>
      </c>
      <c r="G69" s="75">
        <v>4.0</v>
      </c>
      <c r="H69" s="74">
        <f t="shared" si="21"/>
        <v>3</v>
      </c>
      <c r="I69" s="66">
        <f t="shared" si="22"/>
        <v>2</v>
      </c>
      <c r="J69" s="75">
        <f t="shared" si="23"/>
        <v>0</v>
      </c>
      <c r="K69" s="74">
        <v>0.0</v>
      </c>
      <c r="L69" s="66">
        <v>0.0</v>
      </c>
      <c r="M69" s="66">
        <v>0.0</v>
      </c>
      <c r="N69" s="66">
        <v>0.0</v>
      </c>
      <c r="O69" s="66">
        <v>0.0</v>
      </c>
      <c r="P69" s="66">
        <v>0.0</v>
      </c>
      <c r="Q69" s="66">
        <v>1.0</v>
      </c>
      <c r="R69" s="66">
        <v>0.0</v>
      </c>
      <c r="S69" s="66">
        <v>0.0</v>
      </c>
      <c r="T69" s="66">
        <v>1.0</v>
      </c>
      <c r="U69" s="66">
        <v>0.0</v>
      </c>
      <c r="V69" s="66">
        <v>1.0</v>
      </c>
      <c r="W69" s="66">
        <v>0.0</v>
      </c>
      <c r="X69" s="75">
        <v>0.0</v>
      </c>
    </row>
    <row r="70" ht="15.75" customHeight="1">
      <c r="A70" s="68">
        <v>6.0</v>
      </c>
      <c r="B70" s="69">
        <v>45802.0</v>
      </c>
      <c r="C70" s="87">
        <v>0.8333333333333334</v>
      </c>
      <c r="D70" s="72" t="s">
        <v>58</v>
      </c>
      <c r="E70" s="72" t="s">
        <v>60</v>
      </c>
      <c r="F70" s="72" t="s">
        <v>33</v>
      </c>
      <c r="G70" s="75">
        <v>5.0</v>
      </c>
      <c r="H70" s="74">
        <f t="shared" si="21"/>
        <v>3</v>
      </c>
      <c r="I70" s="66">
        <f t="shared" si="22"/>
        <v>3</v>
      </c>
      <c r="J70" s="75">
        <f t="shared" si="23"/>
        <v>2</v>
      </c>
      <c r="K70" s="74">
        <v>2.0</v>
      </c>
      <c r="L70" s="66">
        <v>0.0</v>
      </c>
      <c r="M70" s="66">
        <v>0.0</v>
      </c>
      <c r="N70" s="66">
        <v>0.0</v>
      </c>
      <c r="O70" s="66">
        <v>0.0</v>
      </c>
      <c r="P70" s="66">
        <v>0.0</v>
      </c>
      <c r="Q70" s="66">
        <v>0.0</v>
      </c>
      <c r="R70" s="66">
        <v>0.0</v>
      </c>
      <c r="S70" s="66">
        <v>0.0</v>
      </c>
      <c r="T70" s="66">
        <v>0.0</v>
      </c>
      <c r="U70" s="66">
        <v>0.0</v>
      </c>
      <c r="V70" s="66">
        <v>1.0</v>
      </c>
      <c r="W70" s="66">
        <v>1.0</v>
      </c>
      <c r="X70" s="75">
        <v>0.0</v>
      </c>
    </row>
    <row r="71" ht="15.75" customHeight="1">
      <c r="A71" s="68">
        <v>6.0</v>
      </c>
      <c r="B71" s="69">
        <v>45802.0</v>
      </c>
      <c r="C71" s="87">
        <v>0.8333333333333334</v>
      </c>
      <c r="D71" s="72" t="s">
        <v>58</v>
      </c>
      <c r="E71" s="72" t="s">
        <v>60</v>
      </c>
      <c r="F71" s="72" t="s">
        <v>28</v>
      </c>
      <c r="G71" s="75">
        <v>6.0</v>
      </c>
      <c r="H71" s="74">
        <f t="shared" si="21"/>
        <v>3</v>
      </c>
      <c r="I71" s="66">
        <f t="shared" si="22"/>
        <v>3</v>
      </c>
      <c r="J71" s="75">
        <f t="shared" si="23"/>
        <v>2</v>
      </c>
      <c r="K71" s="74">
        <v>1.0</v>
      </c>
      <c r="L71" s="66">
        <v>1.0</v>
      </c>
      <c r="M71" s="66">
        <v>0.0</v>
      </c>
      <c r="N71" s="66">
        <v>0.0</v>
      </c>
      <c r="O71" s="66">
        <v>0.0</v>
      </c>
      <c r="P71" s="66">
        <v>0.0</v>
      </c>
      <c r="Q71" s="66">
        <v>0.0</v>
      </c>
      <c r="R71" s="66">
        <v>0.0</v>
      </c>
      <c r="S71" s="66">
        <v>0.0</v>
      </c>
      <c r="T71" s="66">
        <v>0.0</v>
      </c>
      <c r="U71" s="66">
        <v>1.0</v>
      </c>
      <c r="V71" s="66">
        <v>0.0</v>
      </c>
      <c r="W71" s="66">
        <v>2.0</v>
      </c>
      <c r="X71" s="75">
        <v>0.0</v>
      </c>
    </row>
    <row r="72" ht="15.75" customHeight="1">
      <c r="A72" s="68">
        <v>6.0</v>
      </c>
      <c r="B72" s="69">
        <v>45802.0</v>
      </c>
      <c r="C72" s="87">
        <v>0.8333333333333334</v>
      </c>
      <c r="D72" s="72" t="s">
        <v>58</v>
      </c>
      <c r="E72" s="72" t="s">
        <v>60</v>
      </c>
      <c r="F72" s="72" t="s">
        <v>37</v>
      </c>
      <c r="G72" s="75">
        <v>7.0</v>
      </c>
      <c r="H72" s="74">
        <f t="shared" si="21"/>
        <v>3</v>
      </c>
      <c r="I72" s="66">
        <f t="shared" si="22"/>
        <v>2</v>
      </c>
      <c r="J72" s="75">
        <f t="shared" si="23"/>
        <v>2</v>
      </c>
      <c r="K72" s="74">
        <v>2.0</v>
      </c>
      <c r="L72" s="66">
        <v>0.0</v>
      </c>
      <c r="M72" s="66">
        <v>0.0</v>
      </c>
      <c r="N72" s="66">
        <v>0.0</v>
      </c>
      <c r="O72" s="66">
        <v>0.0</v>
      </c>
      <c r="P72" s="66">
        <v>0.0</v>
      </c>
      <c r="Q72" s="66">
        <v>0.0</v>
      </c>
      <c r="R72" s="66">
        <v>1.0</v>
      </c>
      <c r="S72" s="66">
        <v>0.0</v>
      </c>
      <c r="T72" s="66">
        <v>0.0</v>
      </c>
      <c r="U72" s="66">
        <v>0.0</v>
      </c>
      <c r="V72" s="66">
        <v>0.0</v>
      </c>
      <c r="W72" s="66">
        <v>0.0</v>
      </c>
      <c r="X72" s="75">
        <v>2.0</v>
      </c>
    </row>
    <row r="73" ht="15.75" customHeight="1">
      <c r="A73" s="68">
        <v>6.0</v>
      </c>
      <c r="B73" s="69">
        <v>45802.0</v>
      </c>
      <c r="C73" s="87">
        <v>0.8333333333333334</v>
      </c>
      <c r="D73" s="72" t="s">
        <v>58</v>
      </c>
      <c r="E73" s="72" t="s">
        <v>60</v>
      </c>
      <c r="F73" s="72" t="s">
        <v>39</v>
      </c>
      <c r="G73" s="75">
        <v>8.0</v>
      </c>
      <c r="H73" s="74">
        <f t="shared" si="21"/>
        <v>3</v>
      </c>
      <c r="I73" s="66">
        <f t="shared" si="22"/>
        <v>3</v>
      </c>
      <c r="J73" s="75">
        <f t="shared" si="23"/>
        <v>1</v>
      </c>
      <c r="K73" s="74">
        <v>1.0</v>
      </c>
      <c r="L73" s="66">
        <v>0.0</v>
      </c>
      <c r="M73" s="66">
        <v>0.0</v>
      </c>
      <c r="N73" s="66">
        <v>0.0</v>
      </c>
      <c r="O73" s="66">
        <v>0.0</v>
      </c>
      <c r="P73" s="66">
        <v>1.0</v>
      </c>
      <c r="Q73" s="66">
        <v>0.0</v>
      </c>
      <c r="R73" s="66">
        <v>0.0</v>
      </c>
      <c r="S73" s="66">
        <v>0.0</v>
      </c>
      <c r="T73" s="66">
        <v>0.0</v>
      </c>
      <c r="U73" s="66">
        <v>0.0</v>
      </c>
      <c r="V73" s="66">
        <v>1.0</v>
      </c>
      <c r="W73" s="66">
        <v>0.0</v>
      </c>
      <c r="X73" s="75">
        <v>1.0</v>
      </c>
    </row>
    <row r="74" ht="15.75" customHeight="1">
      <c r="A74" s="68">
        <v>6.0</v>
      </c>
      <c r="B74" s="69">
        <v>45802.0</v>
      </c>
      <c r="C74" s="87">
        <v>0.8333333333333334</v>
      </c>
      <c r="D74" s="72" t="s">
        <v>58</v>
      </c>
      <c r="E74" s="72" t="s">
        <v>60</v>
      </c>
      <c r="F74" s="72" t="s">
        <v>36</v>
      </c>
      <c r="G74" s="75">
        <v>9.0</v>
      </c>
      <c r="H74" s="74">
        <f t="shared" si="21"/>
        <v>3</v>
      </c>
      <c r="I74" s="66">
        <f t="shared" si="22"/>
        <v>3</v>
      </c>
      <c r="J74" s="75">
        <f t="shared" si="23"/>
        <v>0</v>
      </c>
      <c r="K74" s="74">
        <v>0.0</v>
      </c>
      <c r="L74" s="66">
        <v>0.0</v>
      </c>
      <c r="M74" s="66">
        <v>0.0</v>
      </c>
      <c r="N74" s="66">
        <v>0.0</v>
      </c>
      <c r="O74" s="66">
        <v>0.0</v>
      </c>
      <c r="P74" s="66">
        <v>1.0</v>
      </c>
      <c r="Q74" s="66">
        <v>0.0</v>
      </c>
      <c r="R74" s="66">
        <v>0.0</v>
      </c>
      <c r="S74" s="66">
        <v>0.0</v>
      </c>
      <c r="T74" s="66">
        <v>0.0</v>
      </c>
      <c r="U74" s="66">
        <v>0.0</v>
      </c>
      <c r="V74" s="66">
        <v>2.0</v>
      </c>
      <c r="W74" s="66">
        <v>0.0</v>
      </c>
      <c r="X74" s="75">
        <v>0.0</v>
      </c>
    </row>
    <row r="75" ht="15.75" customHeight="1">
      <c r="A75" s="68">
        <v>6.0</v>
      </c>
      <c r="B75" s="69">
        <v>45802.0</v>
      </c>
      <c r="C75" s="87">
        <v>0.8333333333333334</v>
      </c>
      <c r="D75" s="72" t="s">
        <v>58</v>
      </c>
      <c r="E75" s="72" t="s">
        <v>60</v>
      </c>
      <c r="F75" s="72" t="s">
        <v>29</v>
      </c>
      <c r="G75" s="75">
        <v>10.0</v>
      </c>
      <c r="H75" s="74">
        <f t="shared" si="21"/>
        <v>3</v>
      </c>
      <c r="I75" s="66">
        <f t="shared" si="22"/>
        <v>3</v>
      </c>
      <c r="J75" s="75">
        <f t="shared" si="23"/>
        <v>1</v>
      </c>
      <c r="K75" s="74">
        <v>1.0</v>
      </c>
      <c r="L75" s="66">
        <v>0.0</v>
      </c>
      <c r="M75" s="66">
        <v>0.0</v>
      </c>
      <c r="N75" s="66">
        <v>0.0</v>
      </c>
      <c r="O75" s="66">
        <v>0.0</v>
      </c>
      <c r="P75" s="66">
        <v>0.0</v>
      </c>
      <c r="Q75" s="66">
        <v>0.0</v>
      </c>
      <c r="R75" s="66">
        <v>0.0</v>
      </c>
      <c r="S75" s="66">
        <v>0.0</v>
      </c>
      <c r="T75" s="66">
        <v>0.0</v>
      </c>
      <c r="U75" s="66">
        <v>0.0</v>
      </c>
      <c r="V75" s="66">
        <v>2.0</v>
      </c>
      <c r="W75" s="66">
        <v>1.0</v>
      </c>
      <c r="X75" s="75">
        <v>0.0</v>
      </c>
    </row>
    <row r="76" ht="15.75" customHeight="1">
      <c r="A76" s="68">
        <v>6.0</v>
      </c>
      <c r="B76" s="69">
        <v>45802.0</v>
      </c>
      <c r="C76" s="87">
        <v>0.8333333333333334</v>
      </c>
      <c r="D76" s="72" t="s">
        <v>58</v>
      </c>
      <c r="E76" s="72" t="s">
        <v>60</v>
      </c>
      <c r="F76" s="72" t="s">
        <v>38</v>
      </c>
      <c r="G76" s="75">
        <v>11.0</v>
      </c>
      <c r="H76" s="74">
        <f t="shared" si="21"/>
        <v>3</v>
      </c>
      <c r="I76" s="66">
        <f t="shared" si="22"/>
        <v>3</v>
      </c>
      <c r="J76" s="75">
        <f t="shared" si="23"/>
        <v>1</v>
      </c>
      <c r="K76" s="74">
        <v>1.0</v>
      </c>
      <c r="L76" s="66">
        <v>0.0</v>
      </c>
      <c r="M76" s="66">
        <v>0.0</v>
      </c>
      <c r="N76" s="66">
        <v>0.0</v>
      </c>
      <c r="O76" s="66">
        <v>0.0</v>
      </c>
      <c r="P76" s="66">
        <v>0.0</v>
      </c>
      <c r="Q76" s="66">
        <v>0.0</v>
      </c>
      <c r="R76" s="66">
        <v>0.0</v>
      </c>
      <c r="S76" s="66">
        <v>0.0</v>
      </c>
      <c r="T76" s="66">
        <v>0.0</v>
      </c>
      <c r="U76" s="66">
        <v>1.0</v>
      </c>
      <c r="V76" s="66">
        <v>1.0</v>
      </c>
      <c r="W76" s="66">
        <v>0.0</v>
      </c>
      <c r="X76" s="75">
        <v>0.0</v>
      </c>
    </row>
    <row r="77" ht="15.75" customHeight="1">
      <c r="A77" s="77">
        <v>6.0</v>
      </c>
      <c r="B77" s="78">
        <v>45802.0</v>
      </c>
      <c r="C77" s="88">
        <v>0.8333333333333334</v>
      </c>
      <c r="D77" s="81" t="s">
        <v>58</v>
      </c>
      <c r="E77" s="81" t="s">
        <v>60</v>
      </c>
      <c r="F77" s="81" t="s">
        <v>44</v>
      </c>
      <c r="G77" s="82"/>
      <c r="H77" s="89">
        <f t="shared" ref="H77:X77" si="24">SUBTOTAL(109,H66:H76)</f>
        <v>33</v>
      </c>
      <c r="I77" s="90">
        <f t="shared" si="24"/>
        <v>31</v>
      </c>
      <c r="J77" s="90">
        <f t="shared" si="24"/>
        <v>13</v>
      </c>
      <c r="K77" s="89">
        <f t="shared" si="24"/>
        <v>11</v>
      </c>
      <c r="L77" s="90">
        <f t="shared" si="24"/>
        <v>2</v>
      </c>
      <c r="M77" s="90">
        <f t="shared" si="24"/>
        <v>0</v>
      </c>
      <c r="N77" s="90">
        <f t="shared" si="24"/>
        <v>0</v>
      </c>
      <c r="O77" s="90">
        <f t="shared" si="24"/>
        <v>0</v>
      </c>
      <c r="P77" s="90">
        <f t="shared" si="24"/>
        <v>2</v>
      </c>
      <c r="Q77" s="90">
        <f t="shared" si="24"/>
        <v>1</v>
      </c>
      <c r="R77" s="90">
        <f t="shared" si="24"/>
        <v>1</v>
      </c>
      <c r="S77" s="90">
        <f t="shared" si="24"/>
        <v>0</v>
      </c>
      <c r="T77" s="90">
        <f t="shared" si="24"/>
        <v>1</v>
      </c>
      <c r="U77" s="90">
        <f t="shared" si="24"/>
        <v>2</v>
      </c>
      <c r="V77" s="90">
        <f t="shared" si="24"/>
        <v>13</v>
      </c>
      <c r="W77" s="90">
        <f t="shared" si="24"/>
        <v>5</v>
      </c>
      <c r="X77" s="91">
        <f t="shared" si="24"/>
        <v>5</v>
      </c>
    </row>
    <row r="78" ht="15.75" customHeight="1">
      <c r="A78" s="58">
        <v>7.0</v>
      </c>
      <c r="B78" s="59">
        <v>45802.0</v>
      </c>
      <c r="C78" s="86">
        <v>0.8958333333333334</v>
      </c>
      <c r="D78" s="62" t="s">
        <v>58</v>
      </c>
      <c r="E78" s="62" t="s">
        <v>61</v>
      </c>
      <c r="F78" s="62" t="s">
        <v>27</v>
      </c>
      <c r="G78" s="65">
        <v>1.0</v>
      </c>
      <c r="H78" s="64">
        <f t="shared" ref="H78:H87" si="25">SUM(K78:V78)</f>
        <v>5</v>
      </c>
      <c r="I78" s="65">
        <f t="shared" ref="I78:I87" si="26">SUM(K78:P78,S78:V78)</f>
        <v>5</v>
      </c>
      <c r="J78" s="67">
        <f t="shared" ref="J78:J87" si="27">SUM(K78:O78)</f>
        <v>4</v>
      </c>
      <c r="K78" s="64">
        <v>3.0</v>
      </c>
      <c r="L78" s="65">
        <v>1.0</v>
      </c>
      <c r="M78" s="65">
        <v>0.0</v>
      </c>
      <c r="N78" s="65">
        <v>0.0</v>
      </c>
      <c r="O78" s="65">
        <v>0.0</v>
      </c>
      <c r="P78" s="65">
        <v>0.0</v>
      </c>
      <c r="Q78" s="65">
        <v>0.0</v>
      </c>
      <c r="R78" s="65">
        <v>0.0</v>
      </c>
      <c r="S78" s="65">
        <v>0.0</v>
      </c>
      <c r="T78" s="65">
        <v>0.0</v>
      </c>
      <c r="U78" s="65">
        <v>0.0</v>
      </c>
      <c r="V78" s="65">
        <v>1.0</v>
      </c>
      <c r="W78" s="65">
        <v>4.0</v>
      </c>
      <c r="X78" s="67">
        <v>1.0</v>
      </c>
    </row>
    <row r="79" ht="15.75" customHeight="1">
      <c r="A79" s="68">
        <v>7.0</v>
      </c>
      <c r="B79" s="69">
        <v>45802.0</v>
      </c>
      <c r="C79" s="87">
        <v>0.8958333333333334</v>
      </c>
      <c r="D79" s="72" t="s">
        <v>58</v>
      </c>
      <c r="E79" s="72" t="s">
        <v>61</v>
      </c>
      <c r="F79" s="72" t="s">
        <v>25</v>
      </c>
      <c r="G79" s="66">
        <v>2.0</v>
      </c>
      <c r="H79" s="74">
        <f t="shared" si="25"/>
        <v>5</v>
      </c>
      <c r="I79" s="66">
        <f t="shared" si="26"/>
        <v>5</v>
      </c>
      <c r="J79" s="75">
        <f t="shared" si="27"/>
        <v>5</v>
      </c>
      <c r="K79" s="74">
        <v>3.0</v>
      </c>
      <c r="L79" s="66">
        <v>1.0</v>
      </c>
      <c r="M79" s="66">
        <v>0.0</v>
      </c>
      <c r="N79" s="66">
        <v>0.0</v>
      </c>
      <c r="O79" s="66">
        <v>1.0</v>
      </c>
      <c r="P79" s="66">
        <v>0.0</v>
      </c>
      <c r="Q79" s="66">
        <v>0.0</v>
      </c>
      <c r="R79" s="66">
        <v>0.0</v>
      </c>
      <c r="S79" s="66">
        <v>0.0</v>
      </c>
      <c r="T79" s="66">
        <v>0.0</v>
      </c>
      <c r="U79" s="66">
        <v>0.0</v>
      </c>
      <c r="V79" s="66">
        <v>0.0</v>
      </c>
      <c r="W79" s="66">
        <v>4.0</v>
      </c>
      <c r="X79" s="75">
        <v>4.0</v>
      </c>
    </row>
    <row r="80" ht="15.75" customHeight="1">
      <c r="A80" s="68">
        <v>7.0</v>
      </c>
      <c r="B80" s="69">
        <v>45802.0</v>
      </c>
      <c r="C80" s="87">
        <v>0.8958333333333334</v>
      </c>
      <c r="D80" s="72" t="s">
        <v>58</v>
      </c>
      <c r="E80" s="72" t="s">
        <v>61</v>
      </c>
      <c r="F80" s="72" t="s">
        <v>35</v>
      </c>
      <c r="G80" s="66">
        <v>3.0</v>
      </c>
      <c r="H80" s="74">
        <f t="shared" si="25"/>
        <v>5</v>
      </c>
      <c r="I80" s="66">
        <f t="shared" si="26"/>
        <v>4</v>
      </c>
      <c r="J80" s="75">
        <f t="shared" si="27"/>
        <v>3</v>
      </c>
      <c r="K80" s="74">
        <v>2.0</v>
      </c>
      <c r="L80" s="66">
        <v>1.0</v>
      </c>
      <c r="M80" s="66">
        <v>0.0</v>
      </c>
      <c r="N80" s="66">
        <v>0.0</v>
      </c>
      <c r="O80" s="66">
        <v>0.0</v>
      </c>
      <c r="P80" s="66">
        <v>0.0</v>
      </c>
      <c r="Q80" s="66">
        <v>0.0</v>
      </c>
      <c r="R80" s="66">
        <v>1.0</v>
      </c>
      <c r="S80" s="66">
        <v>0.0</v>
      </c>
      <c r="T80" s="66">
        <v>0.0</v>
      </c>
      <c r="U80" s="66">
        <v>0.0</v>
      </c>
      <c r="V80" s="66">
        <v>1.0</v>
      </c>
      <c r="W80" s="66">
        <v>1.0</v>
      </c>
      <c r="X80" s="75">
        <v>3.0</v>
      </c>
    </row>
    <row r="81" ht="15.75" customHeight="1">
      <c r="A81" s="68">
        <v>7.0</v>
      </c>
      <c r="B81" s="69">
        <v>45802.0</v>
      </c>
      <c r="C81" s="87">
        <v>0.8958333333333334</v>
      </c>
      <c r="D81" s="72" t="s">
        <v>58</v>
      </c>
      <c r="E81" s="72" t="s">
        <v>61</v>
      </c>
      <c r="F81" s="72" t="s">
        <v>30</v>
      </c>
      <c r="G81" s="66">
        <v>4.0</v>
      </c>
      <c r="H81" s="74">
        <f t="shared" si="25"/>
        <v>5</v>
      </c>
      <c r="I81" s="66">
        <f t="shared" si="26"/>
        <v>5</v>
      </c>
      <c r="J81" s="75">
        <f t="shared" si="27"/>
        <v>4</v>
      </c>
      <c r="K81" s="74">
        <v>3.0</v>
      </c>
      <c r="L81" s="66">
        <v>0.0</v>
      </c>
      <c r="M81" s="66">
        <v>0.0</v>
      </c>
      <c r="N81" s="66">
        <v>0.0</v>
      </c>
      <c r="O81" s="66">
        <v>1.0</v>
      </c>
      <c r="P81" s="66">
        <v>0.0</v>
      </c>
      <c r="Q81" s="66">
        <v>0.0</v>
      </c>
      <c r="R81" s="66">
        <v>0.0</v>
      </c>
      <c r="S81" s="66">
        <v>0.0</v>
      </c>
      <c r="T81" s="66">
        <v>0.0</v>
      </c>
      <c r="U81" s="66">
        <v>0.0</v>
      </c>
      <c r="V81" s="66">
        <v>1.0</v>
      </c>
      <c r="W81" s="66">
        <v>2.0</v>
      </c>
      <c r="X81" s="75">
        <v>3.0</v>
      </c>
    </row>
    <row r="82" ht="15.75" customHeight="1">
      <c r="A82" s="68">
        <v>7.0</v>
      </c>
      <c r="B82" s="69">
        <v>45802.0</v>
      </c>
      <c r="C82" s="87">
        <v>0.8958333333333334</v>
      </c>
      <c r="D82" s="72" t="s">
        <v>58</v>
      </c>
      <c r="E82" s="72" t="s">
        <v>61</v>
      </c>
      <c r="F82" s="72" t="s">
        <v>33</v>
      </c>
      <c r="G82" s="66">
        <v>5.0</v>
      </c>
      <c r="H82" s="74">
        <f t="shared" si="25"/>
        <v>5</v>
      </c>
      <c r="I82" s="66">
        <f t="shared" si="26"/>
        <v>5</v>
      </c>
      <c r="J82" s="75">
        <f t="shared" si="27"/>
        <v>5</v>
      </c>
      <c r="K82" s="74">
        <v>3.0</v>
      </c>
      <c r="L82" s="66">
        <v>1.0</v>
      </c>
      <c r="M82" s="66">
        <v>0.0</v>
      </c>
      <c r="N82" s="66">
        <v>0.0</v>
      </c>
      <c r="O82" s="66">
        <v>1.0</v>
      </c>
      <c r="P82" s="66">
        <v>0.0</v>
      </c>
      <c r="Q82" s="66">
        <v>0.0</v>
      </c>
      <c r="R82" s="66">
        <v>0.0</v>
      </c>
      <c r="S82" s="66">
        <v>0.0</v>
      </c>
      <c r="T82" s="66">
        <v>0.0</v>
      </c>
      <c r="U82" s="66">
        <v>0.0</v>
      </c>
      <c r="V82" s="66">
        <v>0.0</v>
      </c>
      <c r="W82" s="66">
        <v>2.0</v>
      </c>
      <c r="X82" s="75">
        <v>3.0</v>
      </c>
    </row>
    <row r="83" ht="15.75" customHeight="1">
      <c r="A83" s="68">
        <v>7.0</v>
      </c>
      <c r="B83" s="69">
        <v>45802.0</v>
      </c>
      <c r="C83" s="87">
        <v>0.8958333333333334</v>
      </c>
      <c r="D83" s="72" t="s">
        <v>58</v>
      </c>
      <c r="E83" s="72" t="s">
        <v>61</v>
      </c>
      <c r="F83" s="72" t="s">
        <v>28</v>
      </c>
      <c r="G83" s="66">
        <v>6.0</v>
      </c>
      <c r="H83" s="74">
        <f t="shared" si="25"/>
        <v>4</v>
      </c>
      <c r="I83" s="66">
        <f t="shared" si="26"/>
        <v>4</v>
      </c>
      <c r="J83" s="75">
        <f t="shared" si="27"/>
        <v>0</v>
      </c>
      <c r="K83" s="74">
        <v>0.0</v>
      </c>
      <c r="L83" s="66">
        <v>0.0</v>
      </c>
      <c r="M83" s="66">
        <v>0.0</v>
      </c>
      <c r="N83" s="66">
        <v>0.0</v>
      </c>
      <c r="O83" s="66">
        <v>0.0</v>
      </c>
      <c r="P83" s="66">
        <v>0.0</v>
      </c>
      <c r="Q83" s="66">
        <v>0.0</v>
      </c>
      <c r="R83" s="66">
        <v>0.0</v>
      </c>
      <c r="S83" s="66">
        <v>0.0</v>
      </c>
      <c r="T83" s="66">
        <v>0.0</v>
      </c>
      <c r="U83" s="66">
        <v>0.0</v>
      </c>
      <c r="V83" s="66">
        <v>4.0</v>
      </c>
      <c r="W83" s="66">
        <v>0.0</v>
      </c>
      <c r="X83" s="75">
        <v>0.0</v>
      </c>
    </row>
    <row r="84" ht="15.75" customHeight="1">
      <c r="A84" s="68">
        <v>7.0</v>
      </c>
      <c r="B84" s="69">
        <v>45802.0</v>
      </c>
      <c r="C84" s="87">
        <v>0.8958333333333334</v>
      </c>
      <c r="D84" s="72" t="s">
        <v>58</v>
      </c>
      <c r="E84" s="72" t="s">
        <v>61</v>
      </c>
      <c r="F84" s="72" t="s">
        <v>39</v>
      </c>
      <c r="G84" s="66">
        <v>7.0</v>
      </c>
      <c r="H84" s="74">
        <f t="shared" si="25"/>
        <v>4</v>
      </c>
      <c r="I84" s="66">
        <f t="shared" si="26"/>
        <v>3</v>
      </c>
      <c r="J84" s="75">
        <f t="shared" si="27"/>
        <v>3</v>
      </c>
      <c r="K84" s="74">
        <v>3.0</v>
      </c>
      <c r="L84" s="66">
        <v>0.0</v>
      </c>
      <c r="M84" s="66">
        <v>0.0</v>
      </c>
      <c r="N84" s="66">
        <v>0.0</v>
      </c>
      <c r="O84" s="66">
        <v>0.0</v>
      </c>
      <c r="P84" s="66">
        <v>0.0</v>
      </c>
      <c r="Q84" s="66">
        <v>1.0</v>
      </c>
      <c r="R84" s="66">
        <v>0.0</v>
      </c>
      <c r="S84" s="66">
        <v>0.0</v>
      </c>
      <c r="T84" s="66">
        <v>0.0</v>
      </c>
      <c r="U84" s="66">
        <v>0.0</v>
      </c>
      <c r="V84" s="66">
        <v>0.0</v>
      </c>
      <c r="W84" s="66">
        <v>1.0</v>
      </c>
      <c r="X84" s="75">
        <v>1.0</v>
      </c>
    </row>
    <row r="85" ht="15.75" customHeight="1">
      <c r="A85" s="68">
        <v>7.0</v>
      </c>
      <c r="B85" s="69">
        <v>45802.0</v>
      </c>
      <c r="C85" s="87">
        <v>0.8958333333333334</v>
      </c>
      <c r="D85" s="72" t="s">
        <v>58</v>
      </c>
      <c r="E85" s="72" t="s">
        <v>61</v>
      </c>
      <c r="F85" s="72" t="s">
        <v>36</v>
      </c>
      <c r="G85" s="66">
        <v>8.0</v>
      </c>
      <c r="H85" s="74">
        <f t="shared" si="25"/>
        <v>4</v>
      </c>
      <c r="I85" s="66">
        <f t="shared" si="26"/>
        <v>3</v>
      </c>
      <c r="J85" s="75">
        <f t="shared" si="27"/>
        <v>0</v>
      </c>
      <c r="K85" s="74">
        <v>0.0</v>
      </c>
      <c r="L85" s="66">
        <v>0.0</v>
      </c>
      <c r="M85" s="66">
        <v>0.0</v>
      </c>
      <c r="N85" s="66">
        <v>0.0</v>
      </c>
      <c r="O85" s="66">
        <v>0.0</v>
      </c>
      <c r="P85" s="66">
        <v>2.0</v>
      </c>
      <c r="Q85" s="66">
        <v>0.0</v>
      </c>
      <c r="R85" s="66">
        <v>1.0</v>
      </c>
      <c r="S85" s="66">
        <v>0.0</v>
      </c>
      <c r="T85" s="66">
        <v>0.0</v>
      </c>
      <c r="U85" s="66">
        <v>0.0</v>
      </c>
      <c r="V85" s="66">
        <v>1.0</v>
      </c>
      <c r="W85" s="66">
        <v>0.0</v>
      </c>
      <c r="X85" s="75">
        <v>1.0</v>
      </c>
    </row>
    <row r="86" ht="15.75" customHeight="1">
      <c r="A86" s="68">
        <v>7.0</v>
      </c>
      <c r="B86" s="69">
        <v>45802.0</v>
      </c>
      <c r="C86" s="87">
        <v>0.8958333333333334</v>
      </c>
      <c r="D86" s="72" t="s">
        <v>58</v>
      </c>
      <c r="E86" s="72" t="s">
        <v>61</v>
      </c>
      <c r="F86" s="72" t="s">
        <v>29</v>
      </c>
      <c r="G86" s="66">
        <v>9.0</v>
      </c>
      <c r="H86" s="74">
        <f t="shared" si="25"/>
        <v>4</v>
      </c>
      <c r="I86" s="66">
        <f t="shared" si="26"/>
        <v>4</v>
      </c>
      <c r="J86" s="75">
        <f t="shared" si="27"/>
        <v>1</v>
      </c>
      <c r="K86" s="74">
        <v>1.0</v>
      </c>
      <c r="L86" s="66">
        <v>0.0</v>
      </c>
      <c r="M86" s="66">
        <v>0.0</v>
      </c>
      <c r="N86" s="66">
        <v>0.0</v>
      </c>
      <c r="O86" s="66">
        <v>0.0</v>
      </c>
      <c r="P86" s="66">
        <v>1.0</v>
      </c>
      <c r="Q86" s="66">
        <v>0.0</v>
      </c>
      <c r="R86" s="66">
        <v>0.0</v>
      </c>
      <c r="S86" s="66">
        <v>0.0</v>
      </c>
      <c r="T86" s="66">
        <v>0.0</v>
      </c>
      <c r="U86" s="66">
        <v>0.0</v>
      </c>
      <c r="V86" s="66">
        <v>2.0</v>
      </c>
      <c r="W86" s="66">
        <v>1.0</v>
      </c>
      <c r="X86" s="75">
        <v>0.0</v>
      </c>
    </row>
    <row r="87" ht="15.75" customHeight="1">
      <c r="A87" s="68">
        <v>7.0</v>
      </c>
      <c r="B87" s="69">
        <v>45802.0</v>
      </c>
      <c r="C87" s="87">
        <v>0.8958333333333334</v>
      </c>
      <c r="D87" s="72" t="s">
        <v>58</v>
      </c>
      <c r="E87" s="72" t="s">
        <v>61</v>
      </c>
      <c r="F87" s="72" t="s">
        <v>38</v>
      </c>
      <c r="G87" s="66">
        <v>10.0</v>
      </c>
      <c r="H87" s="74">
        <f t="shared" si="25"/>
        <v>4</v>
      </c>
      <c r="I87" s="66">
        <f t="shared" si="26"/>
        <v>4</v>
      </c>
      <c r="J87" s="75">
        <f t="shared" si="27"/>
        <v>1</v>
      </c>
      <c r="K87" s="74">
        <v>1.0</v>
      </c>
      <c r="L87" s="66">
        <v>0.0</v>
      </c>
      <c r="M87" s="66">
        <v>0.0</v>
      </c>
      <c r="N87" s="66">
        <v>0.0</v>
      </c>
      <c r="O87" s="66">
        <v>0.0</v>
      </c>
      <c r="P87" s="66">
        <v>0.0</v>
      </c>
      <c r="Q87" s="66">
        <v>0.0</v>
      </c>
      <c r="R87" s="66">
        <v>0.0</v>
      </c>
      <c r="S87" s="66">
        <v>0.0</v>
      </c>
      <c r="T87" s="66">
        <v>0.0</v>
      </c>
      <c r="U87" s="66">
        <v>2.0</v>
      </c>
      <c r="V87" s="66">
        <v>1.0</v>
      </c>
      <c r="W87" s="66">
        <v>1.0</v>
      </c>
      <c r="X87" s="75">
        <v>0.0</v>
      </c>
    </row>
    <row r="88" ht="15.75" customHeight="1">
      <c r="A88" s="77">
        <v>7.0</v>
      </c>
      <c r="B88" s="78">
        <v>45802.0</v>
      </c>
      <c r="C88" s="88">
        <v>0.8958333333333334</v>
      </c>
      <c r="D88" s="81" t="s">
        <v>58</v>
      </c>
      <c r="E88" s="81" t="s">
        <v>61</v>
      </c>
      <c r="F88" s="81" t="s">
        <v>44</v>
      </c>
      <c r="G88" s="82"/>
      <c r="H88" s="83">
        <f t="shared" ref="H88:X88" si="28">SUBTOTAL(109,H78:H87)</f>
        <v>45</v>
      </c>
      <c r="I88" s="84">
        <f t="shared" si="28"/>
        <v>42</v>
      </c>
      <c r="J88" s="84">
        <f t="shared" si="28"/>
        <v>26</v>
      </c>
      <c r="K88" s="83">
        <f t="shared" si="28"/>
        <v>19</v>
      </c>
      <c r="L88" s="84">
        <f t="shared" si="28"/>
        <v>4</v>
      </c>
      <c r="M88" s="84">
        <f t="shared" si="28"/>
        <v>0</v>
      </c>
      <c r="N88" s="84">
        <f t="shared" si="28"/>
        <v>0</v>
      </c>
      <c r="O88" s="84">
        <f t="shared" si="28"/>
        <v>3</v>
      </c>
      <c r="P88" s="84">
        <f t="shared" si="28"/>
        <v>3</v>
      </c>
      <c r="Q88" s="84">
        <f t="shared" si="28"/>
        <v>1</v>
      </c>
      <c r="R88" s="84">
        <f t="shared" si="28"/>
        <v>2</v>
      </c>
      <c r="S88" s="84">
        <f t="shared" si="28"/>
        <v>0</v>
      </c>
      <c r="T88" s="84">
        <f t="shared" si="28"/>
        <v>0</v>
      </c>
      <c r="U88" s="84">
        <f t="shared" si="28"/>
        <v>2</v>
      </c>
      <c r="V88" s="84">
        <f t="shared" si="28"/>
        <v>11</v>
      </c>
      <c r="W88" s="84">
        <f t="shared" si="28"/>
        <v>16</v>
      </c>
      <c r="X88" s="85">
        <f t="shared" si="28"/>
        <v>16</v>
      </c>
    </row>
    <row r="89" ht="15.75" customHeight="1">
      <c r="A89" s="58">
        <v>8.0</v>
      </c>
      <c r="B89" s="59">
        <v>45804.0</v>
      </c>
      <c r="C89" s="86">
        <v>0.8333333333333334</v>
      </c>
      <c r="D89" s="62" t="s">
        <v>58</v>
      </c>
      <c r="E89" s="62" t="s">
        <v>62</v>
      </c>
      <c r="F89" s="62" t="s">
        <v>26</v>
      </c>
      <c r="G89" s="65">
        <v>1.0</v>
      </c>
      <c r="H89" s="64">
        <f t="shared" ref="H89:H101" si="29">SUM(K89:V89)</f>
        <v>4</v>
      </c>
      <c r="I89" s="65">
        <f t="shared" ref="I89:I101" si="30">SUM(K89:P89,S89:V89)</f>
        <v>4</v>
      </c>
      <c r="J89" s="65">
        <f t="shared" ref="J89:J101" si="31">SUM(K89:O89)</f>
        <v>3</v>
      </c>
      <c r="K89" s="64">
        <v>2.0</v>
      </c>
      <c r="L89" s="65">
        <v>1.0</v>
      </c>
      <c r="M89" s="65">
        <v>0.0</v>
      </c>
      <c r="N89" s="65">
        <v>0.0</v>
      </c>
      <c r="O89" s="65">
        <v>0.0</v>
      </c>
      <c r="P89" s="65">
        <v>1.0</v>
      </c>
      <c r="Q89" s="65">
        <v>0.0</v>
      </c>
      <c r="R89" s="65">
        <v>0.0</v>
      </c>
      <c r="S89" s="65">
        <v>0.0</v>
      </c>
      <c r="T89" s="65">
        <v>0.0</v>
      </c>
      <c r="U89" s="65">
        <v>0.0</v>
      </c>
      <c r="V89" s="65">
        <v>0.0</v>
      </c>
      <c r="W89" s="65">
        <v>4.0</v>
      </c>
      <c r="X89" s="67">
        <v>2.0</v>
      </c>
    </row>
    <row r="90" ht="15.75" customHeight="1">
      <c r="A90" s="68">
        <v>8.0</v>
      </c>
      <c r="B90" s="69">
        <v>45804.0</v>
      </c>
      <c r="C90" s="87">
        <v>0.8333333333333334</v>
      </c>
      <c r="D90" s="72" t="s">
        <v>58</v>
      </c>
      <c r="E90" s="72" t="s">
        <v>62</v>
      </c>
      <c r="F90" s="72" t="s">
        <v>25</v>
      </c>
      <c r="G90" s="66">
        <v>2.0</v>
      </c>
      <c r="H90" s="74">
        <f t="shared" si="29"/>
        <v>4</v>
      </c>
      <c r="I90" s="66">
        <f t="shared" si="30"/>
        <v>4</v>
      </c>
      <c r="J90" s="66">
        <f t="shared" si="31"/>
        <v>4</v>
      </c>
      <c r="K90" s="74">
        <v>4.0</v>
      </c>
      <c r="L90" s="66">
        <v>0.0</v>
      </c>
      <c r="M90" s="66">
        <v>0.0</v>
      </c>
      <c r="N90" s="66">
        <v>0.0</v>
      </c>
      <c r="O90" s="66">
        <v>0.0</v>
      </c>
      <c r="P90" s="66">
        <v>0.0</v>
      </c>
      <c r="Q90" s="66">
        <v>0.0</v>
      </c>
      <c r="R90" s="66">
        <v>0.0</v>
      </c>
      <c r="S90" s="66">
        <v>0.0</v>
      </c>
      <c r="T90" s="66">
        <v>0.0</v>
      </c>
      <c r="U90" s="66">
        <v>0.0</v>
      </c>
      <c r="V90" s="66">
        <v>0.0</v>
      </c>
      <c r="W90" s="66">
        <v>3.0</v>
      </c>
      <c r="X90" s="75">
        <v>3.0</v>
      </c>
    </row>
    <row r="91" ht="15.75" customHeight="1">
      <c r="A91" s="68">
        <v>8.0</v>
      </c>
      <c r="B91" s="69">
        <v>45804.0</v>
      </c>
      <c r="C91" s="87">
        <v>0.8333333333333334</v>
      </c>
      <c r="D91" s="72" t="s">
        <v>58</v>
      </c>
      <c r="E91" s="72" t="s">
        <v>62</v>
      </c>
      <c r="F91" s="72" t="s">
        <v>32</v>
      </c>
      <c r="G91" s="66">
        <v>3.0</v>
      </c>
      <c r="H91" s="74">
        <f t="shared" si="29"/>
        <v>4</v>
      </c>
      <c r="I91" s="66">
        <f t="shared" si="30"/>
        <v>4</v>
      </c>
      <c r="J91" s="66">
        <f t="shared" si="31"/>
        <v>4</v>
      </c>
      <c r="K91" s="74">
        <v>3.0</v>
      </c>
      <c r="L91" s="66">
        <v>1.0</v>
      </c>
      <c r="M91" s="66">
        <v>0.0</v>
      </c>
      <c r="N91" s="66">
        <v>0.0</v>
      </c>
      <c r="O91" s="66">
        <v>0.0</v>
      </c>
      <c r="P91" s="66">
        <v>0.0</v>
      </c>
      <c r="Q91" s="66">
        <v>0.0</v>
      </c>
      <c r="R91" s="66">
        <v>0.0</v>
      </c>
      <c r="S91" s="66">
        <v>0.0</v>
      </c>
      <c r="T91" s="66">
        <v>0.0</v>
      </c>
      <c r="U91" s="66">
        <v>0.0</v>
      </c>
      <c r="V91" s="66">
        <v>0.0</v>
      </c>
      <c r="W91" s="66">
        <v>2.0</v>
      </c>
      <c r="X91" s="75">
        <v>3.0</v>
      </c>
    </row>
    <row r="92" ht="15.75" customHeight="1">
      <c r="A92" s="68">
        <v>8.0</v>
      </c>
      <c r="B92" s="69">
        <v>45804.0</v>
      </c>
      <c r="C92" s="87">
        <v>0.8333333333333334</v>
      </c>
      <c r="D92" s="72" t="s">
        <v>58</v>
      </c>
      <c r="E92" s="72" t="s">
        <v>62</v>
      </c>
      <c r="F92" s="72" t="s">
        <v>30</v>
      </c>
      <c r="G92" s="66">
        <v>4.0</v>
      </c>
      <c r="H92" s="74">
        <f t="shared" si="29"/>
        <v>4</v>
      </c>
      <c r="I92" s="66">
        <f t="shared" si="30"/>
        <v>2</v>
      </c>
      <c r="J92" s="66">
        <f t="shared" si="31"/>
        <v>2</v>
      </c>
      <c r="K92" s="74">
        <v>2.0</v>
      </c>
      <c r="L92" s="66">
        <v>0.0</v>
      </c>
      <c r="M92" s="66">
        <v>0.0</v>
      </c>
      <c r="N92" s="66">
        <v>0.0</v>
      </c>
      <c r="O92" s="66">
        <v>0.0</v>
      </c>
      <c r="P92" s="66">
        <v>0.0</v>
      </c>
      <c r="Q92" s="66">
        <v>2.0</v>
      </c>
      <c r="R92" s="66">
        <v>0.0</v>
      </c>
      <c r="S92" s="66">
        <v>0.0</v>
      </c>
      <c r="T92" s="66">
        <v>0.0</v>
      </c>
      <c r="U92" s="66">
        <v>0.0</v>
      </c>
      <c r="V92" s="66">
        <v>0.0</v>
      </c>
      <c r="W92" s="66">
        <v>1.0</v>
      </c>
      <c r="X92" s="75">
        <v>2.0</v>
      </c>
    </row>
    <row r="93" ht="15.75" customHeight="1">
      <c r="A93" s="68">
        <v>8.0</v>
      </c>
      <c r="B93" s="69">
        <v>45804.0</v>
      </c>
      <c r="C93" s="87">
        <v>0.8333333333333334</v>
      </c>
      <c r="D93" s="72" t="s">
        <v>58</v>
      </c>
      <c r="E93" s="72" t="s">
        <v>62</v>
      </c>
      <c r="F93" s="72" t="s">
        <v>35</v>
      </c>
      <c r="G93" s="66">
        <v>5.0</v>
      </c>
      <c r="H93" s="74">
        <f t="shared" si="29"/>
        <v>4</v>
      </c>
      <c r="I93" s="66">
        <f t="shared" si="30"/>
        <v>3</v>
      </c>
      <c r="J93" s="66">
        <f t="shared" si="31"/>
        <v>1</v>
      </c>
      <c r="K93" s="74">
        <v>1.0</v>
      </c>
      <c r="L93" s="66">
        <v>0.0</v>
      </c>
      <c r="M93" s="66">
        <v>0.0</v>
      </c>
      <c r="N93" s="66">
        <v>0.0</v>
      </c>
      <c r="O93" s="66">
        <v>0.0</v>
      </c>
      <c r="P93" s="66">
        <v>0.0</v>
      </c>
      <c r="Q93" s="66">
        <v>0.0</v>
      </c>
      <c r="R93" s="66">
        <v>1.0</v>
      </c>
      <c r="S93" s="66">
        <v>0.0</v>
      </c>
      <c r="T93" s="66">
        <v>0.0</v>
      </c>
      <c r="U93" s="66">
        <v>0.0</v>
      </c>
      <c r="V93" s="66">
        <v>2.0</v>
      </c>
      <c r="W93" s="66">
        <v>0.0</v>
      </c>
      <c r="X93" s="75">
        <v>1.0</v>
      </c>
    </row>
    <row r="94" ht="15.75" customHeight="1">
      <c r="A94" s="68">
        <v>8.0</v>
      </c>
      <c r="B94" s="69">
        <v>45804.0</v>
      </c>
      <c r="C94" s="87">
        <v>0.8333333333333334</v>
      </c>
      <c r="D94" s="72" t="s">
        <v>58</v>
      </c>
      <c r="E94" s="72" t="s">
        <v>62</v>
      </c>
      <c r="F94" s="72" t="s">
        <v>28</v>
      </c>
      <c r="G94" s="66">
        <v>6.0</v>
      </c>
      <c r="H94" s="74">
        <f t="shared" si="29"/>
        <v>3</v>
      </c>
      <c r="I94" s="66">
        <f t="shared" si="30"/>
        <v>2</v>
      </c>
      <c r="J94" s="66">
        <f t="shared" si="31"/>
        <v>1</v>
      </c>
      <c r="K94" s="74">
        <v>1.0</v>
      </c>
      <c r="L94" s="66">
        <v>0.0</v>
      </c>
      <c r="M94" s="66">
        <v>0.0</v>
      </c>
      <c r="N94" s="66">
        <v>0.0</v>
      </c>
      <c r="O94" s="66">
        <v>0.0</v>
      </c>
      <c r="P94" s="66">
        <v>0.0</v>
      </c>
      <c r="Q94" s="66">
        <v>1.0</v>
      </c>
      <c r="R94" s="66">
        <v>0.0</v>
      </c>
      <c r="S94" s="66">
        <v>0.0</v>
      </c>
      <c r="T94" s="66">
        <v>0.0</v>
      </c>
      <c r="U94" s="66">
        <v>0.0</v>
      </c>
      <c r="V94" s="66">
        <v>1.0</v>
      </c>
      <c r="W94" s="66">
        <v>1.0</v>
      </c>
      <c r="X94" s="75">
        <v>2.0</v>
      </c>
    </row>
    <row r="95" ht="15.75" customHeight="1">
      <c r="A95" s="68">
        <v>8.0</v>
      </c>
      <c r="B95" s="69">
        <v>45804.0</v>
      </c>
      <c r="C95" s="87">
        <v>0.8333333333333334</v>
      </c>
      <c r="D95" s="72" t="s">
        <v>58</v>
      </c>
      <c r="E95" s="72" t="s">
        <v>62</v>
      </c>
      <c r="F95" s="72" t="s">
        <v>37</v>
      </c>
      <c r="G95" s="66">
        <v>7.0</v>
      </c>
      <c r="H95" s="74">
        <f t="shared" si="29"/>
        <v>3</v>
      </c>
      <c r="I95" s="66">
        <f t="shared" si="30"/>
        <v>3</v>
      </c>
      <c r="J95" s="66">
        <f t="shared" si="31"/>
        <v>1</v>
      </c>
      <c r="K95" s="74">
        <v>1.0</v>
      </c>
      <c r="L95" s="66">
        <v>0.0</v>
      </c>
      <c r="M95" s="66">
        <v>0.0</v>
      </c>
      <c r="N95" s="66">
        <v>0.0</v>
      </c>
      <c r="O95" s="66">
        <v>0.0</v>
      </c>
      <c r="P95" s="66">
        <v>0.0</v>
      </c>
      <c r="Q95" s="66">
        <v>0.0</v>
      </c>
      <c r="R95" s="66">
        <v>0.0</v>
      </c>
      <c r="S95" s="66">
        <v>0.0</v>
      </c>
      <c r="T95" s="66">
        <v>1.0</v>
      </c>
      <c r="U95" s="66">
        <v>0.0</v>
      </c>
      <c r="V95" s="66">
        <v>1.0</v>
      </c>
      <c r="W95" s="66">
        <v>0.0</v>
      </c>
      <c r="X95" s="75">
        <v>1.0</v>
      </c>
    </row>
    <row r="96" ht="15.75" customHeight="1">
      <c r="A96" s="68">
        <v>8.0</v>
      </c>
      <c r="B96" s="69">
        <v>45804.0</v>
      </c>
      <c r="C96" s="87">
        <v>0.8333333333333334</v>
      </c>
      <c r="D96" s="72" t="s">
        <v>58</v>
      </c>
      <c r="E96" s="72" t="s">
        <v>62</v>
      </c>
      <c r="F96" s="72" t="s">
        <v>31</v>
      </c>
      <c r="G96" s="66">
        <v>8.0</v>
      </c>
      <c r="H96" s="74">
        <f t="shared" si="29"/>
        <v>3</v>
      </c>
      <c r="I96" s="66">
        <f t="shared" si="30"/>
        <v>3</v>
      </c>
      <c r="J96" s="66">
        <f t="shared" si="31"/>
        <v>2</v>
      </c>
      <c r="K96" s="74">
        <v>1.0</v>
      </c>
      <c r="L96" s="66">
        <v>1.0</v>
      </c>
      <c r="M96" s="66">
        <v>0.0</v>
      </c>
      <c r="N96" s="66">
        <v>0.0</v>
      </c>
      <c r="O96" s="66">
        <v>0.0</v>
      </c>
      <c r="P96" s="66">
        <v>0.0</v>
      </c>
      <c r="Q96" s="66">
        <v>0.0</v>
      </c>
      <c r="R96" s="66">
        <v>0.0</v>
      </c>
      <c r="S96" s="66">
        <v>0.0</v>
      </c>
      <c r="T96" s="66">
        <v>0.0</v>
      </c>
      <c r="U96" s="66">
        <v>0.0</v>
      </c>
      <c r="V96" s="66">
        <v>1.0</v>
      </c>
      <c r="W96" s="66">
        <v>1.0</v>
      </c>
      <c r="X96" s="75">
        <v>1.0</v>
      </c>
    </row>
    <row r="97" ht="15.75" customHeight="1">
      <c r="A97" s="68">
        <v>8.0</v>
      </c>
      <c r="B97" s="69">
        <v>45804.0</v>
      </c>
      <c r="C97" s="87">
        <v>0.8333333333333334</v>
      </c>
      <c r="D97" s="72" t="s">
        <v>58</v>
      </c>
      <c r="E97" s="72" t="s">
        <v>62</v>
      </c>
      <c r="F97" s="72" t="s">
        <v>29</v>
      </c>
      <c r="G97" s="66">
        <v>9.0</v>
      </c>
      <c r="H97" s="74">
        <f t="shared" si="29"/>
        <v>3</v>
      </c>
      <c r="I97" s="66">
        <f t="shared" si="30"/>
        <v>3</v>
      </c>
      <c r="J97" s="66">
        <f t="shared" si="31"/>
        <v>3</v>
      </c>
      <c r="K97" s="74">
        <v>3.0</v>
      </c>
      <c r="L97" s="66">
        <v>0.0</v>
      </c>
      <c r="M97" s="66">
        <v>0.0</v>
      </c>
      <c r="N97" s="66">
        <v>0.0</v>
      </c>
      <c r="O97" s="66">
        <v>0.0</v>
      </c>
      <c r="P97" s="66">
        <v>0.0</v>
      </c>
      <c r="Q97" s="66">
        <v>0.0</v>
      </c>
      <c r="R97" s="66">
        <v>0.0</v>
      </c>
      <c r="S97" s="66">
        <v>0.0</v>
      </c>
      <c r="T97" s="66">
        <v>0.0</v>
      </c>
      <c r="U97" s="66">
        <v>0.0</v>
      </c>
      <c r="V97" s="66">
        <v>0.0</v>
      </c>
      <c r="W97" s="66">
        <v>0.0</v>
      </c>
      <c r="X97" s="75">
        <v>0.0</v>
      </c>
    </row>
    <row r="98" ht="15.75" customHeight="1">
      <c r="A98" s="68">
        <v>8.0</v>
      </c>
      <c r="B98" s="69">
        <v>45804.0</v>
      </c>
      <c r="C98" s="87">
        <v>0.8333333333333334</v>
      </c>
      <c r="D98" s="72" t="s">
        <v>58</v>
      </c>
      <c r="E98" s="72" t="s">
        <v>62</v>
      </c>
      <c r="F98" s="72" t="s">
        <v>34</v>
      </c>
      <c r="G98" s="66">
        <v>10.0</v>
      </c>
      <c r="H98" s="74">
        <f t="shared" si="29"/>
        <v>3</v>
      </c>
      <c r="I98" s="66">
        <f t="shared" si="30"/>
        <v>3</v>
      </c>
      <c r="J98" s="66">
        <f t="shared" si="31"/>
        <v>0</v>
      </c>
      <c r="K98" s="74">
        <v>0.0</v>
      </c>
      <c r="L98" s="66">
        <v>0.0</v>
      </c>
      <c r="M98" s="66">
        <v>0.0</v>
      </c>
      <c r="N98" s="66">
        <v>0.0</v>
      </c>
      <c r="O98" s="66">
        <v>0.0</v>
      </c>
      <c r="P98" s="66">
        <v>3.0</v>
      </c>
      <c r="Q98" s="66">
        <v>0.0</v>
      </c>
      <c r="R98" s="66">
        <v>0.0</v>
      </c>
      <c r="S98" s="66">
        <v>0.0</v>
      </c>
      <c r="T98" s="66">
        <v>0.0</v>
      </c>
      <c r="U98" s="66">
        <v>0.0</v>
      </c>
      <c r="V98" s="66">
        <v>0.0</v>
      </c>
      <c r="W98" s="66">
        <v>1.0</v>
      </c>
      <c r="X98" s="75">
        <v>0.0</v>
      </c>
    </row>
    <row r="99" ht="15.75" customHeight="1">
      <c r="A99" s="68">
        <v>8.0</v>
      </c>
      <c r="B99" s="69">
        <v>45804.0</v>
      </c>
      <c r="C99" s="87">
        <v>0.8333333333333334</v>
      </c>
      <c r="D99" s="72" t="s">
        <v>58</v>
      </c>
      <c r="E99" s="72" t="s">
        <v>62</v>
      </c>
      <c r="F99" s="72" t="s">
        <v>36</v>
      </c>
      <c r="G99" s="66">
        <v>11.0</v>
      </c>
      <c r="H99" s="74">
        <f t="shared" si="29"/>
        <v>3</v>
      </c>
      <c r="I99" s="66">
        <f t="shared" si="30"/>
        <v>3</v>
      </c>
      <c r="J99" s="66">
        <f t="shared" si="31"/>
        <v>0</v>
      </c>
      <c r="K99" s="74">
        <v>0.0</v>
      </c>
      <c r="L99" s="66">
        <v>0.0</v>
      </c>
      <c r="M99" s="66">
        <v>0.0</v>
      </c>
      <c r="N99" s="66">
        <v>0.0</v>
      </c>
      <c r="O99" s="66">
        <v>0.0</v>
      </c>
      <c r="P99" s="66">
        <v>1.0</v>
      </c>
      <c r="Q99" s="66">
        <v>0.0</v>
      </c>
      <c r="R99" s="66">
        <v>0.0</v>
      </c>
      <c r="S99" s="66">
        <v>0.0</v>
      </c>
      <c r="T99" s="66">
        <v>0.0</v>
      </c>
      <c r="U99" s="66">
        <v>0.0</v>
      </c>
      <c r="V99" s="66">
        <v>2.0</v>
      </c>
      <c r="W99" s="66">
        <v>0.0</v>
      </c>
      <c r="X99" s="75">
        <v>0.0</v>
      </c>
    </row>
    <row r="100" ht="15.75" customHeight="1">
      <c r="A100" s="68">
        <v>8.0</v>
      </c>
      <c r="B100" s="69">
        <v>45804.0</v>
      </c>
      <c r="C100" s="87">
        <v>0.8333333333333334</v>
      </c>
      <c r="D100" s="72" t="s">
        <v>58</v>
      </c>
      <c r="E100" s="72" t="s">
        <v>62</v>
      </c>
      <c r="F100" s="72" t="s">
        <v>40</v>
      </c>
      <c r="G100" s="66">
        <v>12.0</v>
      </c>
      <c r="H100" s="74">
        <f t="shared" si="29"/>
        <v>3</v>
      </c>
      <c r="I100" s="66">
        <f t="shared" si="30"/>
        <v>2</v>
      </c>
      <c r="J100" s="66">
        <f t="shared" si="31"/>
        <v>0</v>
      </c>
      <c r="K100" s="74">
        <v>0.0</v>
      </c>
      <c r="L100" s="66">
        <v>0.0</v>
      </c>
      <c r="M100" s="66">
        <v>0.0</v>
      </c>
      <c r="N100" s="66">
        <v>0.0</v>
      </c>
      <c r="O100" s="66">
        <v>0.0</v>
      </c>
      <c r="P100" s="66">
        <v>0.0</v>
      </c>
      <c r="Q100" s="66">
        <v>1.0</v>
      </c>
      <c r="R100" s="66">
        <v>0.0</v>
      </c>
      <c r="S100" s="66">
        <v>0.0</v>
      </c>
      <c r="T100" s="66">
        <v>0.0</v>
      </c>
      <c r="U100" s="66">
        <v>0.0</v>
      </c>
      <c r="V100" s="66">
        <v>2.0</v>
      </c>
      <c r="W100" s="66">
        <v>1.0</v>
      </c>
      <c r="X100" s="75">
        <v>0.0</v>
      </c>
    </row>
    <row r="101" ht="15.75" customHeight="1">
      <c r="A101" s="68">
        <v>8.0</v>
      </c>
      <c r="B101" s="69">
        <v>45804.0</v>
      </c>
      <c r="C101" s="87">
        <v>0.8333333333333334</v>
      </c>
      <c r="D101" s="72" t="s">
        <v>58</v>
      </c>
      <c r="E101" s="72" t="s">
        <v>62</v>
      </c>
      <c r="F101" s="72" t="s">
        <v>38</v>
      </c>
      <c r="G101" s="66">
        <v>13.0</v>
      </c>
      <c r="H101" s="74">
        <f t="shared" si="29"/>
        <v>3</v>
      </c>
      <c r="I101" s="66">
        <f t="shared" si="30"/>
        <v>2</v>
      </c>
      <c r="J101" s="66">
        <f t="shared" si="31"/>
        <v>2</v>
      </c>
      <c r="K101" s="74">
        <v>2.0</v>
      </c>
      <c r="L101" s="66">
        <v>0.0</v>
      </c>
      <c r="M101" s="66">
        <v>0.0</v>
      </c>
      <c r="N101" s="66">
        <v>0.0</v>
      </c>
      <c r="O101" s="66">
        <v>0.0</v>
      </c>
      <c r="P101" s="66">
        <v>0.0</v>
      </c>
      <c r="Q101" s="66">
        <v>1.0</v>
      </c>
      <c r="R101" s="66">
        <v>0.0</v>
      </c>
      <c r="S101" s="66">
        <v>0.0</v>
      </c>
      <c r="T101" s="66">
        <v>0.0</v>
      </c>
      <c r="U101" s="66">
        <v>0.0</v>
      </c>
      <c r="V101" s="66">
        <v>0.0</v>
      </c>
      <c r="W101" s="66">
        <v>2.0</v>
      </c>
      <c r="X101" s="75">
        <v>1.0</v>
      </c>
    </row>
    <row r="102" ht="15.75" customHeight="1">
      <c r="A102" s="77">
        <v>8.0</v>
      </c>
      <c r="B102" s="78">
        <v>45804.0</v>
      </c>
      <c r="C102" s="88">
        <v>0.8333333333333334</v>
      </c>
      <c r="D102" s="81" t="s">
        <v>58</v>
      </c>
      <c r="E102" s="81" t="s">
        <v>62</v>
      </c>
      <c r="F102" s="81" t="s">
        <v>44</v>
      </c>
      <c r="G102" s="82"/>
      <c r="H102" s="83">
        <f t="shared" ref="H102:X102" si="32">SUBTOTAL(109,H89:H101)</f>
        <v>44</v>
      </c>
      <c r="I102" s="84">
        <f t="shared" si="32"/>
        <v>38</v>
      </c>
      <c r="J102" s="84">
        <f t="shared" si="32"/>
        <v>23</v>
      </c>
      <c r="K102" s="83">
        <f t="shared" si="32"/>
        <v>20</v>
      </c>
      <c r="L102" s="84">
        <f t="shared" si="32"/>
        <v>3</v>
      </c>
      <c r="M102" s="84">
        <f t="shared" si="32"/>
        <v>0</v>
      </c>
      <c r="N102" s="84">
        <f t="shared" si="32"/>
        <v>0</v>
      </c>
      <c r="O102" s="84">
        <f t="shared" si="32"/>
        <v>0</v>
      </c>
      <c r="P102" s="84">
        <f t="shared" si="32"/>
        <v>5</v>
      </c>
      <c r="Q102" s="84">
        <f t="shared" si="32"/>
        <v>5</v>
      </c>
      <c r="R102" s="84">
        <f t="shared" si="32"/>
        <v>1</v>
      </c>
      <c r="S102" s="84">
        <f t="shared" si="32"/>
        <v>0</v>
      </c>
      <c r="T102" s="84">
        <f t="shared" si="32"/>
        <v>1</v>
      </c>
      <c r="U102" s="84">
        <f t="shared" si="32"/>
        <v>0</v>
      </c>
      <c r="V102" s="84">
        <f t="shared" si="32"/>
        <v>9</v>
      </c>
      <c r="W102" s="84">
        <f t="shared" si="32"/>
        <v>16</v>
      </c>
      <c r="X102" s="85">
        <f t="shared" si="32"/>
        <v>16</v>
      </c>
    </row>
    <row r="103" ht="15.75" customHeight="1">
      <c r="A103" s="58">
        <v>9.0</v>
      </c>
      <c r="B103" s="59">
        <v>45809.0</v>
      </c>
      <c r="C103" s="86">
        <v>0.8333333333333334</v>
      </c>
      <c r="D103" s="62" t="s">
        <v>58</v>
      </c>
      <c r="E103" s="62" t="s">
        <v>63</v>
      </c>
      <c r="F103" s="62" t="s">
        <v>26</v>
      </c>
      <c r="G103" s="65">
        <v>1.0</v>
      </c>
      <c r="H103" s="64">
        <f t="shared" ref="H103:H116" si="33">SUM(K103:V103)</f>
        <v>4</v>
      </c>
      <c r="I103" s="65">
        <f t="shared" ref="I103:I116" si="34">SUM(K103:P103,S103:V103)</f>
        <v>4</v>
      </c>
      <c r="J103" s="65">
        <f t="shared" ref="J103:J116" si="35">SUM(K103:O103)</f>
        <v>2</v>
      </c>
      <c r="K103" s="64">
        <v>2.0</v>
      </c>
      <c r="L103" s="65">
        <v>0.0</v>
      </c>
      <c r="M103" s="65">
        <v>0.0</v>
      </c>
      <c r="N103" s="65">
        <v>0.0</v>
      </c>
      <c r="O103" s="65">
        <v>0.0</v>
      </c>
      <c r="P103" s="65">
        <v>0.0</v>
      </c>
      <c r="Q103" s="65">
        <v>0.0</v>
      </c>
      <c r="R103" s="65">
        <v>0.0</v>
      </c>
      <c r="S103" s="65">
        <v>0.0</v>
      </c>
      <c r="T103" s="65">
        <v>0.0</v>
      </c>
      <c r="U103" s="65">
        <v>0.0</v>
      </c>
      <c r="V103" s="65">
        <v>2.0</v>
      </c>
      <c r="W103" s="65">
        <v>2.0</v>
      </c>
      <c r="X103" s="67">
        <v>1.0</v>
      </c>
    </row>
    <row r="104" ht="15.75" customHeight="1">
      <c r="A104" s="68">
        <v>9.0</v>
      </c>
      <c r="B104" s="69">
        <v>45809.0</v>
      </c>
      <c r="C104" s="87">
        <v>0.8333333333333334</v>
      </c>
      <c r="D104" s="72" t="s">
        <v>58</v>
      </c>
      <c r="E104" s="72" t="s">
        <v>63</v>
      </c>
      <c r="F104" s="72" t="s">
        <v>25</v>
      </c>
      <c r="G104" s="66">
        <v>2.0</v>
      </c>
      <c r="H104" s="74">
        <f t="shared" si="33"/>
        <v>4</v>
      </c>
      <c r="I104" s="66">
        <f t="shared" si="34"/>
        <v>4</v>
      </c>
      <c r="J104" s="66">
        <f t="shared" si="35"/>
        <v>3</v>
      </c>
      <c r="K104" s="74">
        <v>2.0</v>
      </c>
      <c r="L104" s="66">
        <v>0.0</v>
      </c>
      <c r="M104" s="66">
        <v>1.0</v>
      </c>
      <c r="N104" s="66">
        <v>0.0</v>
      </c>
      <c r="O104" s="66">
        <v>0.0</v>
      </c>
      <c r="P104" s="66">
        <v>0.0</v>
      </c>
      <c r="Q104" s="66">
        <v>0.0</v>
      </c>
      <c r="R104" s="66">
        <v>0.0</v>
      </c>
      <c r="S104" s="66">
        <v>0.0</v>
      </c>
      <c r="T104" s="66">
        <v>0.0</v>
      </c>
      <c r="U104" s="66">
        <v>0.0</v>
      </c>
      <c r="V104" s="66">
        <v>1.0</v>
      </c>
      <c r="W104" s="66">
        <v>2.0</v>
      </c>
      <c r="X104" s="75">
        <v>2.0</v>
      </c>
    </row>
    <row r="105" ht="15.75" customHeight="1">
      <c r="A105" s="68">
        <v>9.0</v>
      </c>
      <c r="B105" s="69">
        <v>45809.0</v>
      </c>
      <c r="C105" s="87">
        <v>0.8333333333333334</v>
      </c>
      <c r="D105" s="72" t="s">
        <v>58</v>
      </c>
      <c r="E105" s="72" t="s">
        <v>63</v>
      </c>
      <c r="F105" s="72" t="s">
        <v>32</v>
      </c>
      <c r="G105" s="66">
        <v>3.0</v>
      </c>
      <c r="H105" s="74">
        <f t="shared" si="33"/>
        <v>3</v>
      </c>
      <c r="I105" s="66">
        <f t="shared" si="34"/>
        <v>3</v>
      </c>
      <c r="J105" s="66">
        <f t="shared" si="35"/>
        <v>3</v>
      </c>
      <c r="K105" s="74">
        <v>3.0</v>
      </c>
      <c r="L105" s="66">
        <v>0.0</v>
      </c>
      <c r="M105" s="66">
        <v>0.0</v>
      </c>
      <c r="N105" s="66">
        <v>0.0</v>
      </c>
      <c r="O105" s="66">
        <v>0.0</v>
      </c>
      <c r="P105" s="66">
        <v>0.0</v>
      </c>
      <c r="Q105" s="66">
        <v>0.0</v>
      </c>
      <c r="R105" s="66">
        <v>0.0</v>
      </c>
      <c r="S105" s="66">
        <v>0.0</v>
      </c>
      <c r="T105" s="66">
        <v>0.0</v>
      </c>
      <c r="U105" s="66">
        <v>0.0</v>
      </c>
      <c r="V105" s="66">
        <v>0.0</v>
      </c>
      <c r="W105" s="66">
        <v>3.0</v>
      </c>
      <c r="X105" s="75">
        <v>1.0</v>
      </c>
    </row>
    <row r="106" ht="15.75" customHeight="1">
      <c r="A106" s="68">
        <v>9.0</v>
      </c>
      <c r="B106" s="69">
        <v>45809.0</v>
      </c>
      <c r="C106" s="87">
        <v>0.8333333333333334</v>
      </c>
      <c r="D106" s="72" t="s">
        <v>58</v>
      </c>
      <c r="E106" s="72" t="s">
        <v>63</v>
      </c>
      <c r="F106" s="72" t="s">
        <v>30</v>
      </c>
      <c r="G106" s="66">
        <v>4.0</v>
      </c>
      <c r="H106" s="74">
        <f t="shared" si="33"/>
        <v>3</v>
      </c>
      <c r="I106" s="66">
        <f t="shared" si="34"/>
        <v>3</v>
      </c>
      <c r="J106" s="66">
        <f t="shared" si="35"/>
        <v>3</v>
      </c>
      <c r="K106" s="74">
        <v>3.0</v>
      </c>
      <c r="L106" s="66">
        <v>0.0</v>
      </c>
      <c r="M106" s="66">
        <v>0.0</v>
      </c>
      <c r="N106" s="66">
        <v>0.0</v>
      </c>
      <c r="O106" s="66">
        <v>0.0</v>
      </c>
      <c r="P106" s="66">
        <v>0.0</v>
      </c>
      <c r="Q106" s="66">
        <v>0.0</v>
      </c>
      <c r="R106" s="66">
        <v>0.0</v>
      </c>
      <c r="S106" s="66">
        <v>0.0</v>
      </c>
      <c r="T106" s="66">
        <v>0.0</v>
      </c>
      <c r="U106" s="66">
        <v>0.0</v>
      </c>
      <c r="V106" s="66">
        <v>0.0</v>
      </c>
      <c r="W106" s="66">
        <v>0.0</v>
      </c>
      <c r="X106" s="75">
        <v>1.0</v>
      </c>
    </row>
    <row r="107" ht="15.75" customHeight="1">
      <c r="A107" s="68">
        <v>9.0</v>
      </c>
      <c r="B107" s="69">
        <v>45809.0</v>
      </c>
      <c r="C107" s="87">
        <v>0.8333333333333334</v>
      </c>
      <c r="D107" s="72" t="s">
        <v>58</v>
      </c>
      <c r="E107" s="72" t="s">
        <v>63</v>
      </c>
      <c r="F107" s="72" t="s">
        <v>27</v>
      </c>
      <c r="G107" s="66">
        <v>5.0</v>
      </c>
      <c r="H107" s="74">
        <f t="shared" si="33"/>
        <v>3</v>
      </c>
      <c r="I107" s="66">
        <f t="shared" si="34"/>
        <v>3</v>
      </c>
      <c r="J107" s="66">
        <f t="shared" si="35"/>
        <v>0</v>
      </c>
      <c r="K107" s="74">
        <v>0.0</v>
      </c>
      <c r="L107" s="66">
        <v>0.0</v>
      </c>
      <c r="M107" s="66">
        <v>0.0</v>
      </c>
      <c r="N107" s="66">
        <v>0.0</v>
      </c>
      <c r="O107" s="66">
        <v>0.0</v>
      </c>
      <c r="P107" s="66">
        <v>0.0</v>
      </c>
      <c r="Q107" s="66">
        <v>0.0</v>
      </c>
      <c r="R107" s="66">
        <v>0.0</v>
      </c>
      <c r="S107" s="66">
        <v>0.0</v>
      </c>
      <c r="T107" s="66">
        <v>0.0</v>
      </c>
      <c r="U107" s="66">
        <v>0.0</v>
      </c>
      <c r="V107" s="66">
        <v>3.0</v>
      </c>
      <c r="W107" s="66">
        <v>0.0</v>
      </c>
      <c r="X107" s="75">
        <v>0.0</v>
      </c>
    </row>
    <row r="108" ht="15.75" customHeight="1">
      <c r="A108" s="68">
        <v>9.0</v>
      </c>
      <c r="B108" s="69">
        <v>45809.0</v>
      </c>
      <c r="C108" s="87">
        <v>0.8333333333333334</v>
      </c>
      <c r="D108" s="72" t="s">
        <v>58</v>
      </c>
      <c r="E108" s="72" t="s">
        <v>63</v>
      </c>
      <c r="F108" s="72" t="s">
        <v>28</v>
      </c>
      <c r="G108" s="66">
        <v>6.0</v>
      </c>
      <c r="H108" s="74">
        <f t="shared" si="33"/>
        <v>3</v>
      </c>
      <c r="I108" s="66">
        <f t="shared" si="34"/>
        <v>2</v>
      </c>
      <c r="J108" s="66">
        <f t="shared" si="35"/>
        <v>1</v>
      </c>
      <c r="K108" s="74">
        <v>1.0</v>
      </c>
      <c r="L108" s="66">
        <v>0.0</v>
      </c>
      <c r="M108" s="66">
        <v>0.0</v>
      </c>
      <c r="N108" s="66">
        <v>0.0</v>
      </c>
      <c r="O108" s="66">
        <v>0.0</v>
      </c>
      <c r="P108" s="66">
        <v>1.0</v>
      </c>
      <c r="Q108" s="66">
        <v>0.0</v>
      </c>
      <c r="R108" s="66">
        <v>1.0</v>
      </c>
      <c r="S108" s="66">
        <v>0.0</v>
      </c>
      <c r="T108" s="66">
        <v>0.0</v>
      </c>
      <c r="U108" s="66">
        <v>0.0</v>
      </c>
      <c r="V108" s="66">
        <v>0.0</v>
      </c>
      <c r="W108" s="66">
        <v>1.0</v>
      </c>
      <c r="X108" s="75">
        <v>3.0</v>
      </c>
    </row>
    <row r="109" ht="15.75" customHeight="1">
      <c r="A109" s="68">
        <v>9.0</v>
      </c>
      <c r="B109" s="69">
        <v>45809.0</v>
      </c>
      <c r="C109" s="87">
        <v>0.8333333333333334</v>
      </c>
      <c r="D109" s="72" t="s">
        <v>58</v>
      </c>
      <c r="E109" s="72" t="s">
        <v>63</v>
      </c>
      <c r="F109" s="72" t="s">
        <v>35</v>
      </c>
      <c r="G109" s="66">
        <v>7.0</v>
      </c>
      <c r="H109" s="74">
        <f t="shared" si="33"/>
        <v>3</v>
      </c>
      <c r="I109" s="66">
        <f t="shared" si="34"/>
        <v>3</v>
      </c>
      <c r="J109" s="66">
        <f t="shared" si="35"/>
        <v>2</v>
      </c>
      <c r="K109" s="74">
        <v>2.0</v>
      </c>
      <c r="L109" s="66">
        <v>0.0</v>
      </c>
      <c r="M109" s="66">
        <v>0.0</v>
      </c>
      <c r="N109" s="66">
        <v>0.0</v>
      </c>
      <c r="O109" s="66">
        <v>0.0</v>
      </c>
      <c r="P109" s="66">
        <v>0.0</v>
      </c>
      <c r="Q109" s="66">
        <v>0.0</v>
      </c>
      <c r="R109" s="66">
        <v>0.0</v>
      </c>
      <c r="S109" s="66">
        <v>0.0</v>
      </c>
      <c r="T109" s="66">
        <v>0.0</v>
      </c>
      <c r="U109" s="66">
        <v>0.0</v>
      </c>
      <c r="V109" s="66">
        <v>1.0</v>
      </c>
      <c r="W109" s="66">
        <v>1.0</v>
      </c>
      <c r="X109" s="75">
        <v>0.0</v>
      </c>
    </row>
    <row r="110" ht="15.75" customHeight="1">
      <c r="A110" s="68">
        <v>9.0</v>
      </c>
      <c r="B110" s="69">
        <v>45809.0</v>
      </c>
      <c r="C110" s="87">
        <v>0.8333333333333334</v>
      </c>
      <c r="D110" s="72" t="s">
        <v>58</v>
      </c>
      <c r="E110" s="72" t="s">
        <v>63</v>
      </c>
      <c r="F110" s="72" t="s">
        <v>37</v>
      </c>
      <c r="G110" s="66">
        <v>8.0</v>
      </c>
      <c r="H110" s="74">
        <f t="shared" si="33"/>
        <v>3</v>
      </c>
      <c r="I110" s="66">
        <f t="shared" si="34"/>
        <v>3</v>
      </c>
      <c r="J110" s="66">
        <f t="shared" si="35"/>
        <v>1</v>
      </c>
      <c r="K110" s="74">
        <v>1.0</v>
      </c>
      <c r="L110" s="66">
        <v>0.0</v>
      </c>
      <c r="M110" s="66">
        <v>0.0</v>
      </c>
      <c r="N110" s="66">
        <v>0.0</v>
      </c>
      <c r="O110" s="66">
        <v>0.0</v>
      </c>
      <c r="P110" s="66">
        <v>0.0</v>
      </c>
      <c r="Q110" s="66">
        <v>0.0</v>
      </c>
      <c r="R110" s="66">
        <v>0.0</v>
      </c>
      <c r="S110" s="66">
        <v>0.0</v>
      </c>
      <c r="T110" s="66">
        <v>0.0</v>
      </c>
      <c r="U110" s="66">
        <v>0.0</v>
      </c>
      <c r="V110" s="66">
        <v>2.0</v>
      </c>
      <c r="W110" s="66">
        <v>0.0</v>
      </c>
      <c r="X110" s="75">
        <v>1.0</v>
      </c>
    </row>
    <row r="111" ht="15.75" customHeight="1">
      <c r="A111" s="68">
        <v>9.0</v>
      </c>
      <c r="B111" s="69">
        <v>45809.0</v>
      </c>
      <c r="C111" s="87">
        <v>0.8333333333333334</v>
      </c>
      <c r="D111" s="72" t="s">
        <v>58</v>
      </c>
      <c r="E111" s="72" t="s">
        <v>63</v>
      </c>
      <c r="F111" s="72" t="s">
        <v>29</v>
      </c>
      <c r="G111" s="66">
        <v>9.0</v>
      </c>
      <c r="H111" s="74">
        <f t="shared" si="33"/>
        <v>3</v>
      </c>
      <c r="I111" s="66">
        <f t="shared" si="34"/>
        <v>3</v>
      </c>
      <c r="J111" s="66">
        <f t="shared" si="35"/>
        <v>3</v>
      </c>
      <c r="K111" s="74">
        <v>2.0</v>
      </c>
      <c r="L111" s="66">
        <v>1.0</v>
      </c>
      <c r="M111" s="66">
        <v>0.0</v>
      </c>
      <c r="N111" s="66">
        <v>0.0</v>
      </c>
      <c r="O111" s="66">
        <v>0.0</v>
      </c>
      <c r="P111" s="66">
        <v>0.0</v>
      </c>
      <c r="Q111" s="66">
        <v>0.0</v>
      </c>
      <c r="R111" s="66">
        <v>0.0</v>
      </c>
      <c r="S111" s="66">
        <v>0.0</v>
      </c>
      <c r="T111" s="66">
        <v>0.0</v>
      </c>
      <c r="U111" s="66">
        <v>0.0</v>
      </c>
      <c r="V111" s="66">
        <v>0.0</v>
      </c>
      <c r="W111" s="66">
        <v>1.0</v>
      </c>
      <c r="X111" s="75">
        <v>1.0</v>
      </c>
    </row>
    <row r="112" ht="15.75" customHeight="1">
      <c r="A112" s="68">
        <v>9.0</v>
      </c>
      <c r="B112" s="69">
        <v>45809.0</v>
      </c>
      <c r="C112" s="87">
        <v>0.8333333333333334</v>
      </c>
      <c r="D112" s="72" t="s">
        <v>58</v>
      </c>
      <c r="E112" s="72" t="s">
        <v>63</v>
      </c>
      <c r="F112" s="72" t="s">
        <v>39</v>
      </c>
      <c r="G112" s="66">
        <v>10.0</v>
      </c>
      <c r="H112" s="74">
        <f t="shared" si="33"/>
        <v>1</v>
      </c>
      <c r="I112" s="66">
        <f t="shared" si="34"/>
        <v>1</v>
      </c>
      <c r="J112" s="66">
        <f t="shared" si="35"/>
        <v>0</v>
      </c>
      <c r="K112" s="74">
        <v>0.0</v>
      </c>
      <c r="L112" s="66">
        <v>0.0</v>
      </c>
      <c r="M112" s="66">
        <v>0.0</v>
      </c>
      <c r="N112" s="66">
        <v>0.0</v>
      </c>
      <c r="O112" s="66">
        <v>0.0</v>
      </c>
      <c r="P112" s="66">
        <v>1.0</v>
      </c>
      <c r="Q112" s="66">
        <v>0.0</v>
      </c>
      <c r="R112" s="66">
        <v>0.0</v>
      </c>
      <c r="S112" s="66">
        <v>0.0</v>
      </c>
      <c r="T112" s="66">
        <v>0.0</v>
      </c>
      <c r="U112" s="66">
        <v>0.0</v>
      </c>
      <c r="V112" s="66">
        <v>0.0</v>
      </c>
      <c r="W112" s="66">
        <v>1.0</v>
      </c>
      <c r="X112" s="75">
        <v>0.0</v>
      </c>
      <c r="Y112" s="92" t="s">
        <v>64</v>
      </c>
    </row>
    <row r="113" ht="15.75" customHeight="1">
      <c r="A113" s="68">
        <v>9.0</v>
      </c>
      <c r="B113" s="69">
        <v>45809.0</v>
      </c>
      <c r="C113" s="87">
        <v>0.8333333333333334</v>
      </c>
      <c r="D113" s="72" t="s">
        <v>58</v>
      </c>
      <c r="E113" s="72" t="s">
        <v>63</v>
      </c>
      <c r="F113" s="72" t="s">
        <v>34</v>
      </c>
      <c r="G113" s="66">
        <v>11.0</v>
      </c>
      <c r="H113" s="74">
        <f t="shared" si="33"/>
        <v>3</v>
      </c>
      <c r="I113" s="66">
        <f t="shared" si="34"/>
        <v>3</v>
      </c>
      <c r="J113" s="66">
        <f t="shared" si="35"/>
        <v>1</v>
      </c>
      <c r="K113" s="74">
        <v>1.0</v>
      </c>
      <c r="L113" s="66">
        <v>0.0</v>
      </c>
      <c r="M113" s="66">
        <v>0.0</v>
      </c>
      <c r="N113" s="66">
        <v>0.0</v>
      </c>
      <c r="O113" s="66">
        <v>0.0</v>
      </c>
      <c r="P113" s="66">
        <v>0.0</v>
      </c>
      <c r="Q113" s="66">
        <v>0.0</v>
      </c>
      <c r="R113" s="66">
        <v>0.0</v>
      </c>
      <c r="S113" s="66">
        <v>0.0</v>
      </c>
      <c r="T113" s="66">
        <v>0.0</v>
      </c>
      <c r="U113" s="66">
        <v>0.0</v>
      </c>
      <c r="V113" s="66">
        <v>2.0</v>
      </c>
      <c r="W113" s="66">
        <v>0.0</v>
      </c>
      <c r="X113" s="75">
        <v>1.0</v>
      </c>
    </row>
    <row r="114" ht="15.75" customHeight="1">
      <c r="A114" s="68">
        <v>9.0</v>
      </c>
      <c r="B114" s="69">
        <v>45809.0</v>
      </c>
      <c r="C114" s="87">
        <v>0.8333333333333334</v>
      </c>
      <c r="D114" s="72" t="s">
        <v>58</v>
      </c>
      <c r="E114" s="72" t="s">
        <v>63</v>
      </c>
      <c r="F114" s="72" t="s">
        <v>36</v>
      </c>
      <c r="G114" s="66">
        <v>12.0</v>
      </c>
      <c r="H114" s="74">
        <f t="shared" si="33"/>
        <v>3</v>
      </c>
      <c r="I114" s="66">
        <f t="shared" si="34"/>
        <v>3</v>
      </c>
      <c r="J114" s="66">
        <f t="shared" si="35"/>
        <v>2</v>
      </c>
      <c r="K114" s="74">
        <v>2.0</v>
      </c>
      <c r="L114" s="66">
        <v>0.0</v>
      </c>
      <c r="M114" s="66">
        <v>0.0</v>
      </c>
      <c r="N114" s="66">
        <v>0.0</v>
      </c>
      <c r="O114" s="66">
        <v>0.0</v>
      </c>
      <c r="P114" s="66">
        <v>1.0</v>
      </c>
      <c r="Q114" s="66">
        <v>0.0</v>
      </c>
      <c r="R114" s="66">
        <v>0.0</v>
      </c>
      <c r="S114" s="66">
        <v>0.0</v>
      </c>
      <c r="T114" s="66">
        <v>0.0</v>
      </c>
      <c r="U114" s="66">
        <v>0.0</v>
      </c>
      <c r="V114" s="66">
        <v>0.0</v>
      </c>
      <c r="W114" s="66">
        <v>1.0</v>
      </c>
      <c r="X114" s="75">
        <v>1.0</v>
      </c>
    </row>
    <row r="115" ht="15.75" customHeight="1">
      <c r="A115" s="68">
        <v>9.0</v>
      </c>
      <c r="B115" s="69">
        <v>45809.0</v>
      </c>
      <c r="C115" s="87">
        <v>0.8333333333333334</v>
      </c>
      <c r="D115" s="72" t="s">
        <v>58</v>
      </c>
      <c r="E115" s="72" t="s">
        <v>63</v>
      </c>
      <c r="F115" s="72" t="s">
        <v>40</v>
      </c>
      <c r="G115" s="66">
        <v>13.0</v>
      </c>
      <c r="H115" s="74">
        <f t="shared" si="33"/>
        <v>5</v>
      </c>
      <c r="I115" s="66">
        <f t="shared" si="34"/>
        <v>5</v>
      </c>
      <c r="J115" s="66">
        <f t="shared" si="35"/>
        <v>1</v>
      </c>
      <c r="K115" s="74">
        <v>1.0</v>
      </c>
      <c r="L115" s="66">
        <v>0.0</v>
      </c>
      <c r="M115" s="66">
        <v>0.0</v>
      </c>
      <c r="N115" s="66">
        <v>0.0</v>
      </c>
      <c r="O115" s="66">
        <v>0.0</v>
      </c>
      <c r="P115" s="66">
        <v>0.0</v>
      </c>
      <c r="Q115" s="66">
        <v>0.0</v>
      </c>
      <c r="R115" s="66">
        <v>0.0</v>
      </c>
      <c r="S115" s="66">
        <v>0.0</v>
      </c>
      <c r="T115" s="66">
        <v>0.0</v>
      </c>
      <c r="U115" s="66">
        <v>2.0</v>
      </c>
      <c r="V115" s="66">
        <v>2.0</v>
      </c>
      <c r="W115" s="66">
        <v>0.0</v>
      </c>
      <c r="X115" s="75">
        <v>0.0</v>
      </c>
    </row>
    <row r="116" ht="15.75" customHeight="1">
      <c r="A116" s="68">
        <v>9.0</v>
      </c>
      <c r="B116" s="69">
        <v>45809.0</v>
      </c>
      <c r="C116" s="87">
        <v>0.8333333333333334</v>
      </c>
      <c r="D116" s="72" t="s">
        <v>58</v>
      </c>
      <c r="E116" s="72" t="s">
        <v>63</v>
      </c>
      <c r="F116" s="72" t="s">
        <v>38</v>
      </c>
      <c r="G116" s="66">
        <v>14.0</v>
      </c>
      <c r="H116" s="74">
        <f t="shared" si="33"/>
        <v>3</v>
      </c>
      <c r="I116" s="66">
        <f t="shared" si="34"/>
        <v>3</v>
      </c>
      <c r="J116" s="66">
        <f t="shared" si="35"/>
        <v>0</v>
      </c>
      <c r="K116" s="74">
        <v>0.0</v>
      </c>
      <c r="L116" s="66">
        <v>0.0</v>
      </c>
      <c r="M116" s="66">
        <v>0.0</v>
      </c>
      <c r="N116" s="66">
        <v>0.0</v>
      </c>
      <c r="O116" s="66">
        <v>0.0</v>
      </c>
      <c r="P116" s="66">
        <v>0.0</v>
      </c>
      <c r="Q116" s="66">
        <v>0.0</v>
      </c>
      <c r="R116" s="66">
        <v>0.0</v>
      </c>
      <c r="S116" s="66">
        <v>0.0</v>
      </c>
      <c r="T116" s="66">
        <v>0.0</v>
      </c>
      <c r="U116" s="66">
        <v>3.0</v>
      </c>
      <c r="V116" s="66">
        <v>0.0</v>
      </c>
      <c r="W116" s="66">
        <v>0.0</v>
      </c>
      <c r="X116" s="75">
        <v>0.0</v>
      </c>
    </row>
    <row r="117" ht="15.75" customHeight="1">
      <c r="A117" s="77">
        <v>9.0</v>
      </c>
      <c r="B117" s="78">
        <v>45809.0</v>
      </c>
      <c r="C117" s="88">
        <v>0.8333333333333334</v>
      </c>
      <c r="D117" s="81" t="s">
        <v>58</v>
      </c>
      <c r="E117" s="81" t="s">
        <v>63</v>
      </c>
      <c r="F117" s="81" t="s">
        <v>44</v>
      </c>
      <c r="G117" s="82"/>
      <c r="H117" s="89">
        <f t="shared" ref="H117:X117" si="36">SUBTOTAL(109,H103:H116)</f>
        <v>44</v>
      </c>
      <c r="I117" s="90">
        <f t="shared" si="36"/>
        <v>43</v>
      </c>
      <c r="J117" s="90">
        <f t="shared" si="36"/>
        <v>22</v>
      </c>
      <c r="K117" s="89">
        <f t="shared" si="36"/>
        <v>20</v>
      </c>
      <c r="L117" s="90">
        <f t="shared" si="36"/>
        <v>1</v>
      </c>
      <c r="M117" s="90">
        <f t="shared" si="36"/>
        <v>1</v>
      </c>
      <c r="N117" s="90">
        <f t="shared" si="36"/>
        <v>0</v>
      </c>
      <c r="O117" s="90">
        <f t="shared" si="36"/>
        <v>0</v>
      </c>
      <c r="P117" s="90">
        <f t="shared" si="36"/>
        <v>3</v>
      </c>
      <c r="Q117" s="90">
        <f t="shared" si="36"/>
        <v>0</v>
      </c>
      <c r="R117" s="90">
        <f t="shared" si="36"/>
        <v>1</v>
      </c>
      <c r="S117" s="90">
        <f t="shared" si="36"/>
        <v>0</v>
      </c>
      <c r="T117" s="90">
        <f t="shared" si="36"/>
        <v>0</v>
      </c>
      <c r="U117" s="90">
        <f t="shared" si="36"/>
        <v>5</v>
      </c>
      <c r="V117" s="90">
        <f t="shared" si="36"/>
        <v>13</v>
      </c>
      <c r="W117" s="90">
        <f t="shared" si="36"/>
        <v>12</v>
      </c>
      <c r="X117" s="91">
        <f t="shared" si="36"/>
        <v>12</v>
      </c>
      <c r="Y117" s="92" t="s">
        <v>65</v>
      </c>
    </row>
    <row r="118" ht="15.75" customHeight="1">
      <c r="A118" s="58">
        <v>10.0</v>
      </c>
      <c r="B118" s="59">
        <v>45809.0</v>
      </c>
      <c r="C118" s="86">
        <v>0.8958333333333334</v>
      </c>
      <c r="D118" s="62" t="s">
        <v>54</v>
      </c>
      <c r="E118" s="62" t="s">
        <v>66</v>
      </c>
      <c r="F118" s="62" t="s">
        <v>26</v>
      </c>
      <c r="G118" s="65">
        <v>1.0</v>
      </c>
      <c r="H118" s="74">
        <f t="shared" ref="H118:H130" si="37">SUM(K118:V118)</f>
        <v>4</v>
      </c>
      <c r="I118" s="66">
        <f t="shared" ref="I118:I130" si="38">SUM(K118:P118,S118:V118)</f>
        <v>3</v>
      </c>
      <c r="J118" s="66">
        <f t="shared" ref="J118:J130" si="39">SUM(K118:O118)</f>
        <v>1</v>
      </c>
      <c r="K118" s="74">
        <v>1.0</v>
      </c>
      <c r="L118" s="66">
        <v>0.0</v>
      </c>
      <c r="M118" s="66">
        <v>0.0</v>
      </c>
      <c r="N118" s="66">
        <v>0.0</v>
      </c>
      <c r="O118" s="66">
        <v>0.0</v>
      </c>
      <c r="P118" s="66">
        <v>1.0</v>
      </c>
      <c r="Q118" s="66">
        <v>1.0</v>
      </c>
      <c r="R118" s="66">
        <v>0.0</v>
      </c>
      <c r="S118" s="66">
        <v>0.0</v>
      </c>
      <c r="T118" s="66">
        <v>0.0</v>
      </c>
      <c r="U118" s="66">
        <v>1.0</v>
      </c>
      <c r="V118" s="66">
        <v>0.0</v>
      </c>
      <c r="W118" s="66">
        <v>1.0</v>
      </c>
      <c r="X118" s="75">
        <v>0.0</v>
      </c>
    </row>
    <row r="119" ht="15.75" customHeight="1">
      <c r="A119" s="68">
        <v>10.0</v>
      </c>
      <c r="B119" s="69">
        <v>45809.0</v>
      </c>
      <c r="C119" s="87">
        <v>0.8958333333333334</v>
      </c>
      <c r="D119" s="72" t="s">
        <v>54</v>
      </c>
      <c r="E119" s="72" t="s">
        <v>66</v>
      </c>
      <c r="F119" s="72" t="s">
        <v>25</v>
      </c>
      <c r="G119" s="66">
        <v>2.0</v>
      </c>
      <c r="H119" s="74">
        <f t="shared" si="37"/>
        <v>4</v>
      </c>
      <c r="I119" s="66">
        <f t="shared" si="38"/>
        <v>4</v>
      </c>
      <c r="J119" s="66">
        <f t="shared" si="39"/>
        <v>3</v>
      </c>
      <c r="K119" s="74">
        <v>2.0</v>
      </c>
      <c r="L119" s="66">
        <v>1.0</v>
      </c>
      <c r="M119" s="66">
        <v>0.0</v>
      </c>
      <c r="N119" s="66">
        <v>0.0</v>
      </c>
      <c r="O119" s="66">
        <v>0.0</v>
      </c>
      <c r="P119" s="66">
        <v>0.0</v>
      </c>
      <c r="Q119" s="66">
        <v>0.0</v>
      </c>
      <c r="R119" s="66">
        <v>0.0</v>
      </c>
      <c r="S119" s="66">
        <v>0.0</v>
      </c>
      <c r="T119" s="66">
        <v>0.0</v>
      </c>
      <c r="U119" s="66">
        <v>0.0</v>
      </c>
      <c r="V119" s="66">
        <v>1.0</v>
      </c>
      <c r="W119" s="66">
        <v>1.0</v>
      </c>
      <c r="X119" s="75">
        <v>2.0</v>
      </c>
    </row>
    <row r="120" ht="15.75" customHeight="1">
      <c r="A120" s="68">
        <v>10.0</v>
      </c>
      <c r="B120" s="69">
        <v>45809.0</v>
      </c>
      <c r="C120" s="87">
        <v>0.8958333333333334</v>
      </c>
      <c r="D120" s="72" t="s">
        <v>54</v>
      </c>
      <c r="E120" s="72" t="s">
        <v>66</v>
      </c>
      <c r="F120" s="72" t="s">
        <v>32</v>
      </c>
      <c r="G120" s="66">
        <v>3.0</v>
      </c>
      <c r="H120" s="74">
        <f t="shared" si="37"/>
        <v>4</v>
      </c>
      <c r="I120" s="66">
        <f t="shared" si="38"/>
        <v>4</v>
      </c>
      <c r="J120" s="66">
        <f t="shared" si="39"/>
        <v>3</v>
      </c>
      <c r="K120" s="74">
        <v>3.0</v>
      </c>
      <c r="L120" s="66">
        <v>0.0</v>
      </c>
      <c r="M120" s="66">
        <v>0.0</v>
      </c>
      <c r="N120" s="66">
        <v>0.0</v>
      </c>
      <c r="O120" s="66">
        <v>0.0</v>
      </c>
      <c r="P120" s="66">
        <v>0.0</v>
      </c>
      <c r="Q120" s="66">
        <v>0.0</v>
      </c>
      <c r="R120" s="66">
        <v>0.0</v>
      </c>
      <c r="S120" s="66">
        <v>0.0</v>
      </c>
      <c r="T120" s="66">
        <v>0.0</v>
      </c>
      <c r="U120" s="66">
        <v>0.0</v>
      </c>
      <c r="V120" s="66">
        <v>1.0</v>
      </c>
      <c r="W120" s="66">
        <v>3.0</v>
      </c>
      <c r="X120" s="75">
        <v>1.0</v>
      </c>
    </row>
    <row r="121" ht="15.75" customHeight="1">
      <c r="A121" s="68">
        <v>10.0</v>
      </c>
      <c r="B121" s="69">
        <v>45809.0</v>
      </c>
      <c r="C121" s="87">
        <v>0.8958333333333334</v>
      </c>
      <c r="D121" s="72" t="s">
        <v>54</v>
      </c>
      <c r="E121" s="72" t="s">
        <v>66</v>
      </c>
      <c r="F121" s="72" t="s">
        <v>30</v>
      </c>
      <c r="G121" s="66">
        <v>4.0</v>
      </c>
      <c r="H121" s="74">
        <f t="shared" si="37"/>
        <v>4</v>
      </c>
      <c r="I121" s="66">
        <f t="shared" si="38"/>
        <v>4</v>
      </c>
      <c r="J121" s="66">
        <f t="shared" si="39"/>
        <v>2</v>
      </c>
      <c r="K121" s="74">
        <v>2.0</v>
      </c>
      <c r="L121" s="66">
        <v>0.0</v>
      </c>
      <c r="M121" s="66">
        <v>0.0</v>
      </c>
      <c r="N121" s="66">
        <v>0.0</v>
      </c>
      <c r="O121" s="66">
        <v>0.0</v>
      </c>
      <c r="P121" s="66">
        <v>1.0</v>
      </c>
      <c r="Q121" s="66">
        <v>0.0</v>
      </c>
      <c r="R121" s="66">
        <v>0.0</v>
      </c>
      <c r="S121" s="66">
        <v>0.0</v>
      </c>
      <c r="T121" s="66">
        <v>0.0</v>
      </c>
      <c r="U121" s="66">
        <v>0.0</v>
      </c>
      <c r="V121" s="66">
        <v>1.0</v>
      </c>
      <c r="W121" s="66">
        <v>3.0</v>
      </c>
      <c r="X121" s="75">
        <v>1.0</v>
      </c>
    </row>
    <row r="122" ht="15.75" customHeight="1">
      <c r="A122" s="68">
        <v>10.0</v>
      </c>
      <c r="B122" s="69">
        <v>45809.0</v>
      </c>
      <c r="C122" s="87">
        <v>0.8958333333333334</v>
      </c>
      <c r="D122" s="72" t="s">
        <v>54</v>
      </c>
      <c r="E122" s="72" t="s">
        <v>66</v>
      </c>
      <c r="F122" s="72" t="s">
        <v>27</v>
      </c>
      <c r="G122" s="66">
        <v>5.0</v>
      </c>
      <c r="H122" s="74">
        <f t="shared" si="37"/>
        <v>4</v>
      </c>
      <c r="I122" s="66">
        <f t="shared" si="38"/>
        <v>4</v>
      </c>
      <c r="J122" s="66">
        <f t="shared" si="39"/>
        <v>3</v>
      </c>
      <c r="K122" s="74">
        <v>1.0</v>
      </c>
      <c r="L122" s="66">
        <v>1.0</v>
      </c>
      <c r="M122" s="66">
        <v>0.0</v>
      </c>
      <c r="N122" s="66">
        <v>0.0</v>
      </c>
      <c r="O122" s="66">
        <v>1.0</v>
      </c>
      <c r="P122" s="66">
        <v>1.0</v>
      </c>
      <c r="Q122" s="66">
        <v>0.0</v>
      </c>
      <c r="R122" s="66">
        <v>0.0</v>
      </c>
      <c r="S122" s="66">
        <v>0.0</v>
      </c>
      <c r="T122" s="66">
        <v>0.0</v>
      </c>
      <c r="U122" s="66">
        <v>0.0</v>
      </c>
      <c r="V122" s="66">
        <v>0.0</v>
      </c>
      <c r="W122" s="66">
        <v>2.0</v>
      </c>
      <c r="X122" s="75">
        <v>4.0</v>
      </c>
    </row>
    <row r="123" ht="15.75" customHeight="1">
      <c r="A123" s="68">
        <v>10.0</v>
      </c>
      <c r="B123" s="69">
        <v>45809.0</v>
      </c>
      <c r="C123" s="87">
        <v>0.8958333333333334</v>
      </c>
      <c r="D123" s="72" t="s">
        <v>54</v>
      </c>
      <c r="E123" s="72" t="s">
        <v>66</v>
      </c>
      <c r="F123" s="72" t="s">
        <v>28</v>
      </c>
      <c r="G123" s="66">
        <v>6.0</v>
      </c>
      <c r="H123" s="74">
        <f t="shared" si="37"/>
        <v>4</v>
      </c>
      <c r="I123" s="66">
        <f t="shared" si="38"/>
        <v>4</v>
      </c>
      <c r="J123" s="66">
        <f t="shared" si="39"/>
        <v>3</v>
      </c>
      <c r="K123" s="74">
        <v>2.0</v>
      </c>
      <c r="L123" s="66">
        <v>1.0</v>
      </c>
      <c r="M123" s="66">
        <v>0.0</v>
      </c>
      <c r="N123" s="66">
        <v>0.0</v>
      </c>
      <c r="O123" s="66">
        <v>0.0</v>
      </c>
      <c r="P123" s="66">
        <v>0.0</v>
      </c>
      <c r="Q123" s="66">
        <v>0.0</v>
      </c>
      <c r="R123" s="66">
        <v>0.0</v>
      </c>
      <c r="S123" s="66">
        <v>0.0</v>
      </c>
      <c r="T123" s="66">
        <v>0.0</v>
      </c>
      <c r="U123" s="66">
        <v>0.0</v>
      </c>
      <c r="V123" s="66">
        <v>1.0</v>
      </c>
      <c r="W123" s="66">
        <v>2.0</v>
      </c>
      <c r="X123" s="75">
        <v>3.0</v>
      </c>
    </row>
    <row r="124" ht="15.75" customHeight="1">
      <c r="A124" s="68">
        <v>10.0</v>
      </c>
      <c r="B124" s="69">
        <v>45809.0</v>
      </c>
      <c r="C124" s="87">
        <v>0.8958333333333334</v>
      </c>
      <c r="D124" s="72" t="s">
        <v>54</v>
      </c>
      <c r="E124" s="72" t="s">
        <v>66</v>
      </c>
      <c r="F124" s="72" t="s">
        <v>35</v>
      </c>
      <c r="G124" s="66">
        <v>7.0</v>
      </c>
      <c r="H124" s="74">
        <f t="shared" si="37"/>
        <v>3</v>
      </c>
      <c r="I124" s="66">
        <f t="shared" si="38"/>
        <v>3</v>
      </c>
      <c r="J124" s="66">
        <f t="shared" si="39"/>
        <v>2</v>
      </c>
      <c r="K124" s="74">
        <v>2.0</v>
      </c>
      <c r="L124" s="66">
        <v>0.0</v>
      </c>
      <c r="M124" s="66">
        <v>0.0</v>
      </c>
      <c r="N124" s="66">
        <v>0.0</v>
      </c>
      <c r="O124" s="66">
        <v>0.0</v>
      </c>
      <c r="P124" s="66">
        <v>0.0</v>
      </c>
      <c r="Q124" s="66">
        <v>0.0</v>
      </c>
      <c r="R124" s="66">
        <v>0.0</v>
      </c>
      <c r="S124" s="66">
        <v>0.0</v>
      </c>
      <c r="T124" s="66">
        <v>0.0</v>
      </c>
      <c r="U124" s="66">
        <v>0.0</v>
      </c>
      <c r="V124" s="66">
        <v>1.0</v>
      </c>
      <c r="W124" s="66">
        <v>1.0</v>
      </c>
      <c r="X124" s="75">
        <v>1.0</v>
      </c>
    </row>
    <row r="125" ht="15.75" customHeight="1">
      <c r="A125" s="68">
        <v>10.0</v>
      </c>
      <c r="B125" s="69">
        <v>45809.0</v>
      </c>
      <c r="C125" s="87">
        <v>0.8958333333333334</v>
      </c>
      <c r="D125" s="72" t="s">
        <v>54</v>
      </c>
      <c r="E125" s="72" t="s">
        <v>66</v>
      </c>
      <c r="F125" s="72" t="s">
        <v>37</v>
      </c>
      <c r="G125" s="66">
        <v>8.0</v>
      </c>
      <c r="H125" s="74">
        <f t="shared" si="37"/>
        <v>3</v>
      </c>
      <c r="I125" s="66">
        <f t="shared" si="38"/>
        <v>3</v>
      </c>
      <c r="J125" s="66">
        <f t="shared" si="39"/>
        <v>1</v>
      </c>
      <c r="K125" s="74">
        <v>1.0</v>
      </c>
      <c r="L125" s="66">
        <v>0.0</v>
      </c>
      <c r="M125" s="66">
        <v>0.0</v>
      </c>
      <c r="N125" s="66">
        <v>0.0</v>
      </c>
      <c r="O125" s="66">
        <v>0.0</v>
      </c>
      <c r="P125" s="66">
        <v>1.0</v>
      </c>
      <c r="Q125" s="66">
        <v>0.0</v>
      </c>
      <c r="R125" s="66">
        <v>0.0</v>
      </c>
      <c r="S125" s="66">
        <v>0.0</v>
      </c>
      <c r="T125" s="66">
        <v>0.0</v>
      </c>
      <c r="U125" s="66">
        <v>0.0</v>
      </c>
      <c r="V125" s="66">
        <v>1.0</v>
      </c>
      <c r="W125" s="66">
        <v>0.0</v>
      </c>
      <c r="X125" s="75">
        <v>1.0</v>
      </c>
    </row>
    <row r="126" ht="15.75" customHeight="1">
      <c r="A126" s="68">
        <v>10.0</v>
      </c>
      <c r="B126" s="69">
        <v>45809.0</v>
      </c>
      <c r="C126" s="87">
        <v>0.8958333333333334</v>
      </c>
      <c r="D126" s="72" t="s">
        <v>54</v>
      </c>
      <c r="E126" s="72" t="s">
        <v>66</v>
      </c>
      <c r="F126" s="72" t="s">
        <v>29</v>
      </c>
      <c r="G126" s="66">
        <v>9.0</v>
      </c>
      <c r="H126" s="74">
        <f t="shared" si="37"/>
        <v>3</v>
      </c>
      <c r="I126" s="66">
        <f t="shared" si="38"/>
        <v>2</v>
      </c>
      <c r="J126" s="66">
        <f t="shared" si="39"/>
        <v>0</v>
      </c>
      <c r="K126" s="74">
        <v>0.0</v>
      </c>
      <c r="L126" s="66">
        <v>0.0</v>
      </c>
      <c r="M126" s="66">
        <v>0.0</v>
      </c>
      <c r="N126" s="66">
        <v>0.0</v>
      </c>
      <c r="O126" s="66">
        <v>0.0</v>
      </c>
      <c r="P126" s="66">
        <v>0.0</v>
      </c>
      <c r="Q126" s="66">
        <v>0.0</v>
      </c>
      <c r="R126" s="66">
        <v>1.0</v>
      </c>
      <c r="S126" s="66">
        <v>0.0</v>
      </c>
      <c r="T126" s="66">
        <v>0.0</v>
      </c>
      <c r="U126" s="66">
        <v>0.0</v>
      </c>
      <c r="V126" s="66">
        <v>2.0</v>
      </c>
      <c r="W126" s="66">
        <v>0.0</v>
      </c>
      <c r="X126" s="75">
        <v>1.0</v>
      </c>
    </row>
    <row r="127" ht="15.75" customHeight="1">
      <c r="A127" s="68">
        <v>10.0</v>
      </c>
      <c r="B127" s="69">
        <v>45809.0</v>
      </c>
      <c r="C127" s="87">
        <v>0.8958333333333334</v>
      </c>
      <c r="D127" s="72" t="s">
        <v>54</v>
      </c>
      <c r="E127" s="72" t="s">
        <v>66</v>
      </c>
      <c r="F127" s="72" t="s">
        <v>34</v>
      </c>
      <c r="G127" s="66">
        <v>10.0</v>
      </c>
      <c r="H127" s="74">
        <f t="shared" si="37"/>
        <v>3</v>
      </c>
      <c r="I127" s="66">
        <f t="shared" si="38"/>
        <v>3</v>
      </c>
      <c r="J127" s="66">
        <f t="shared" si="39"/>
        <v>1</v>
      </c>
      <c r="K127" s="74">
        <v>1.0</v>
      </c>
      <c r="L127" s="66">
        <v>0.0</v>
      </c>
      <c r="M127" s="66">
        <v>0.0</v>
      </c>
      <c r="N127" s="66">
        <v>0.0</v>
      </c>
      <c r="O127" s="66">
        <v>0.0</v>
      </c>
      <c r="P127" s="66">
        <v>0.0</v>
      </c>
      <c r="Q127" s="66">
        <v>0.0</v>
      </c>
      <c r="R127" s="66">
        <v>0.0</v>
      </c>
      <c r="S127" s="66">
        <v>0.0</v>
      </c>
      <c r="T127" s="66">
        <v>0.0</v>
      </c>
      <c r="U127" s="66">
        <v>0.0</v>
      </c>
      <c r="V127" s="66">
        <v>2.0</v>
      </c>
      <c r="W127" s="66">
        <v>1.0</v>
      </c>
      <c r="X127" s="75">
        <v>0.0</v>
      </c>
    </row>
    <row r="128" ht="15.75" customHeight="1">
      <c r="A128" s="68">
        <v>10.0</v>
      </c>
      <c r="B128" s="69">
        <v>45809.0</v>
      </c>
      <c r="C128" s="87">
        <v>0.8958333333333334</v>
      </c>
      <c r="D128" s="72" t="s">
        <v>54</v>
      </c>
      <c r="E128" s="72" t="s">
        <v>66</v>
      </c>
      <c r="F128" s="72" t="s">
        <v>36</v>
      </c>
      <c r="G128" s="66">
        <v>11.0</v>
      </c>
      <c r="H128" s="74">
        <f t="shared" si="37"/>
        <v>3</v>
      </c>
      <c r="I128" s="66">
        <f t="shared" si="38"/>
        <v>3</v>
      </c>
      <c r="J128" s="66">
        <f t="shared" si="39"/>
        <v>0</v>
      </c>
      <c r="K128" s="74">
        <v>0.0</v>
      </c>
      <c r="L128" s="66">
        <v>0.0</v>
      </c>
      <c r="M128" s="66">
        <v>0.0</v>
      </c>
      <c r="N128" s="66">
        <v>0.0</v>
      </c>
      <c r="O128" s="66">
        <v>0.0</v>
      </c>
      <c r="P128" s="66">
        <v>1.0</v>
      </c>
      <c r="Q128" s="66">
        <v>0.0</v>
      </c>
      <c r="R128" s="66">
        <v>0.0</v>
      </c>
      <c r="S128" s="66">
        <v>0.0</v>
      </c>
      <c r="T128" s="66">
        <v>0.0</v>
      </c>
      <c r="U128" s="66">
        <v>0.0</v>
      </c>
      <c r="V128" s="66">
        <v>2.0</v>
      </c>
      <c r="W128" s="66">
        <v>0.0</v>
      </c>
      <c r="X128" s="75">
        <v>0.0</v>
      </c>
    </row>
    <row r="129" ht="15.75" customHeight="1">
      <c r="A129" s="68">
        <v>10.0</v>
      </c>
      <c r="B129" s="69">
        <v>45809.0</v>
      </c>
      <c r="C129" s="87">
        <v>0.8958333333333334</v>
      </c>
      <c r="D129" s="72" t="s">
        <v>54</v>
      </c>
      <c r="E129" s="72" t="s">
        <v>66</v>
      </c>
      <c r="F129" s="72" t="s">
        <v>40</v>
      </c>
      <c r="G129" s="66">
        <v>12.0</v>
      </c>
      <c r="H129" s="74">
        <f t="shared" si="37"/>
        <v>3</v>
      </c>
      <c r="I129" s="66">
        <f t="shared" si="38"/>
        <v>2</v>
      </c>
      <c r="J129" s="66">
        <f t="shared" si="39"/>
        <v>1</v>
      </c>
      <c r="K129" s="74">
        <v>1.0</v>
      </c>
      <c r="L129" s="66">
        <v>0.0</v>
      </c>
      <c r="M129" s="66">
        <v>0.0</v>
      </c>
      <c r="N129" s="66">
        <v>0.0</v>
      </c>
      <c r="O129" s="66">
        <v>0.0</v>
      </c>
      <c r="P129" s="66">
        <v>1.0</v>
      </c>
      <c r="Q129" s="66">
        <v>1.0</v>
      </c>
      <c r="R129" s="66">
        <v>0.0</v>
      </c>
      <c r="S129" s="66">
        <v>0.0</v>
      </c>
      <c r="T129" s="66">
        <v>0.0</v>
      </c>
      <c r="U129" s="66">
        <v>0.0</v>
      </c>
      <c r="V129" s="66">
        <v>0.0</v>
      </c>
      <c r="W129" s="66">
        <v>0.0</v>
      </c>
      <c r="X129" s="75">
        <v>0.0</v>
      </c>
    </row>
    <row r="130" ht="15.75" customHeight="1">
      <c r="A130" s="68">
        <v>10.0</v>
      </c>
      <c r="B130" s="69">
        <v>45809.0</v>
      </c>
      <c r="C130" s="87">
        <v>0.8958333333333334</v>
      </c>
      <c r="D130" s="72" t="s">
        <v>54</v>
      </c>
      <c r="E130" s="72" t="s">
        <v>66</v>
      </c>
      <c r="F130" s="72" t="s">
        <v>38</v>
      </c>
      <c r="G130" s="66">
        <v>13.0</v>
      </c>
      <c r="H130" s="74">
        <f t="shared" si="37"/>
        <v>3</v>
      </c>
      <c r="I130" s="66">
        <f t="shared" si="38"/>
        <v>3</v>
      </c>
      <c r="J130" s="66">
        <f t="shared" si="39"/>
        <v>2</v>
      </c>
      <c r="K130" s="74">
        <v>2.0</v>
      </c>
      <c r="L130" s="66">
        <v>0.0</v>
      </c>
      <c r="M130" s="66">
        <v>0.0</v>
      </c>
      <c r="N130" s="66">
        <v>0.0</v>
      </c>
      <c r="O130" s="66">
        <v>0.0</v>
      </c>
      <c r="P130" s="66">
        <v>0.0</v>
      </c>
      <c r="Q130" s="66">
        <v>0.0</v>
      </c>
      <c r="R130" s="66">
        <v>0.0</v>
      </c>
      <c r="S130" s="66">
        <v>0.0</v>
      </c>
      <c r="T130" s="66">
        <v>0.0</v>
      </c>
      <c r="U130" s="66">
        <v>1.0</v>
      </c>
      <c r="V130" s="66">
        <v>0.0</v>
      </c>
      <c r="W130" s="66">
        <v>1.0</v>
      </c>
      <c r="X130" s="75">
        <v>1.0</v>
      </c>
    </row>
    <row r="131" ht="15.75" customHeight="1">
      <c r="A131" s="77">
        <v>10.0</v>
      </c>
      <c r="B131" s="78">
        <v>45809.0</v>
      </c>
      <c r="C131" s="88">
        <v>0.8958333333333334</v>
      </c>
      <c r="D131" s="81" t="s">
        <v>54</v>
      </c>
      <c r="E131" s="81" t="s">
        <v>66</v>
      </c>
      <c r="F131" s="81" t="s">
        <v>44</v>
      </c>
      <c r="G131" s="82"/>
      <c r="H131" s="83">
        <f t="shared" ref="H131:X131" si="40">SUBTOTAL(109,H118:H130)</f>
        <v>45</v>
      </c>
      <c r="I131" s="84">
        <f t="shared" si="40"/>
        <v>42</v>
      </c>
      <c r="J131" s="84">
        <f t="shared" si="40"/>
        <v>22</v>
      </c>
      <c r="K131" s="83">
        <f t="shared" si="40"/>
        <v>18</v>
      </c>
      <c r="L131" s="84">
        <f t="shared" si="40"/>
        <v>3</v>
      </c>
      <c r="M131" s="84">
        <f t="shared" si="40"/>
        <v>0</v>
      </c>
      <c r="N131" s="84">
        <f t="shared" si="40"/>
        <v>0</v>
      </c>
      <c r="O131" s="84">
        <f t="shared" si="40"/>
        <v>1</v>
      </c>
      <c r="P131" s="84">
        <f t="shared" si="40"/>
        <v>6</v>
      </c>
      <c r="Q131" s="84">
        <f t="shared" si="40"/>
        <v>2</v>
      </c>
      <c r="R131" s="84">
        <f t="shared" si="40"/>
        <v>1</v>
      </c>
      <c r="S131" s="84">
        <f t="shared" si="40"/>
        <v>0</v>
      </c>
      <c r="T131" s="84">
        <f t="shared" si="40"/>
        <v>0</v>
      </c>
      <c r="U131" s="84">
        <f t="shared" si="40"/>
        <v>2</v>
      </c>
      <c r="V131" s="84">
        <f t="shared" si="40"/>
        <v>12</v>
      </c>
      <c r="W131" s="84">
        <f t="shared" si="40"/>
        <v>15</v>
      </c>
      <c r="X131" s="85">
        <f t="shared" si="40"/>
        <v>15</v>
      </c>
    </row>
    <row r="132" ht="15.75" customHeight="1">
      <c r="A132" s="58">
        <v>11.0</v>
      </c>
      <c r="B132" s="59">
        <v>45812.0</v>
      </c>
      <c r="C132" s="86">
        <v>0.8333333333333334</v>
      </c>
      <c r="D132" s="62" t="s">
        <v>54</v>
      </c>
      <c r="E132" s="62" t="s">
        <v>67</v>
      </c>
      <c r="F132" s="62" t="s">
        <v>28</v>
      </c>
      <c r="G132" s="65">
        <v>1.0</v>
      </c>
      <c r="H132" s="64">
        <f t="shared" ref="H132:H141" si="41">SUM(K132:V132)</f>
        <v>5</v>
      </c>
      <c r="I132" s="65">
        <f t="shared" ref="I132:I141" si="42">SUM(K132:P132,S132:V132)</f>
        <v>5</v>
      </c>
      <c r="J132" s="65">
        <f t="shared" ref="J132:J141" si="43">SUM(K132:O132)</f>
        <v>4</v>
      </c>
      <c r="K132" s="64">
        <v>3.0</v>
      </c>
      <c r="L132" s="65">
        <v>0.0</v>
      </c>
      <c r="M132" s="65">
        <v>1.0</v>
      </c>
      <c r="N132" s="65">
        <v>0.0</v>
      </c>
      <c r="O132" s="65">
        <v>0.0</v>
      </c>
      <c r="P132" s="65">
        <v>0.0</v>
      </c>
      <c r="Q132" s="65">
        <v>0.0</v>
      </c>
      <c r="R132" s="65">
        <v>0.0</v>
      </c>
      <c r="S132" s="65">
        <v>1.0</v>
      </c>
      <c r="T132" s="65">
        <v>0.0</v>
      </c>
      <c r="U132" s="65">
        <v>0.0</v>
      </c>
      <c r="V132" s="65">
        <v>0.0</v>
      </c>
      <c r="W132" s="65">
        <v>3.0</v>
      </c>
      <c r="X132" s="67">
        <v>1.0</v>
      </c>
    </row>
    <row r="133" ht="15.75" customHeight="1">
      <c r="A133" s="68">
        <v>11.0</v>
      </c>
      <c r="B133" s="69">
        <v>45812.0</v>
      </c>
      <c r="C133" s="87">
        <v>0.8333333333333334</v>
      </c>
      <c r="D133" s="72" t="s">
        <v>54</v>
      </c>
      <c r="E133" s="72" t="s">
        <v>67</v>
      </c>
      <c r="F133" s="72" t="s">
        <v>26</v>
      </c>
      <c r="G133" s="66">
        <v>2.0</v>
      </c>
      <c r="H133" s="74">
        <f t="shared" si="41"/>
        <v>5</v>
      </c>
      <c r="I133" s="66">
        <f t="shared" si="42"/>
        <v>4</v>
      </c>
      <c r="J133" s="66">
        <f t="shared" si="43"/>
        <v>4</v>
      </c>
      <c r="K133" s="74">
        <v>1.0</v>
      </c>
      <c r="L133" s="66">
        <v>3.0</v>
      </c>
      <c r="M133" s="66">
        <v>0.0</v>
      </c>
      <c r="N133" s="66">
        <v>0.0</v>
      </c>
      <c r="O133" s="66">
        <v>0.0</v>
      </c>
      <c r="P133" s="66">
        <v>0.0</v>
      </c>
      <c r="Q133" s="66">
        <v>0.0</v>
      </c>
      <c r="R133" s="66">
        <v>1.0</v>
      </c>
      <c r="S133" s="66">
        <v>0.0</v>
      </c>
      <c r="T133" s="66">
        <v>0.0</v>
      </c>
      <c r="U133" s="66">
        <v>0.0</v>
      </c>
      <c r="V133" s="66">
        <v>0.0</v>
      </c>
      <c r="W133" s="66">
        <v>2.0</v>
      </c>
      <c r="X133" s="75">
        <v>4.0</v>
      </c>
    </row>
    <row r="134" ht="15.75" customHeight="1">
      <c r="A134" s="68">
        <v>11.0</v>
      </c>
      <c r="B134" s="69">
        <v>45812.0</v>
      </c>
      <c r="C134" s="87">
        <v>0.8333333333333334</v>
      </c>
      <c r="D134" s="72" t="s">
        <v>54</v>
      </c>
      <c r="E134" s="72" t="s">
        <v>67</v>
      </c>
      <c r="F134" s="72" t="s">
        <v>33</v>
      </c>
      <c r="G134" s="66">
        <v>3.0</v>
      </c>
      <c r="H134" s="74">
        <f t="shared" si="41"/>
        <v>5</v>
      </c>
      <c r="I134" s="66">
        <f t="shared" si="42"/>
        <v>5</v>
      </c>
      <c r="J134" s="66">
        <f t="shared" si="43"/>
        <v>4</v>
      </c>
      <c r="K134" s="74">
        <v>3.0</v>
      </c>
      <c r="L134" s="66">
        <v>0.0</v>
      </c>
      <c r="M134" s="66">
        <v>1.0</v>
      </c>
      <c r="N134" s="66">
        <v>0.0</v>
      </c>
      <c r="O134" s="66">
        <v>0.0</v>
      </c>
      <c r="P134" s="66">
        <v>0.0</v>
      </c>
      <c r="Q134" s="66">
        <v>0.0</v>
      </c>
      <c r="R134" s="66">
        <v>0.0</v>
      </c>
      <c r="S134" s="66">
        <v>0.0</v>
      </c>
      <c r="T134" s="66">
        <v>0.0</v>
      </c>
      <c r="U134" s="66">
        <v>0.0</v>
      </c>
      <c r="V134" s="66">
        <v>1.0</v>
      </c>
      <c r="W134" s="66">
        <v>3.0</v>
      </c>
      <c r="X134" s="75">
        <v>2.0</v>
      </c>
    </row>
    <row r="135" ht="15.75" customHeight="1">
      <c r="A135" s="68">
        <v>11.0</v>
      </c>
      <c r="B135" s="69">
        <v>45812.0</v>
      </c>
      <c r="C135" s="87">
        <v>0.8333333333333334</v>
      </c>
      <c r="D135" s="72" t="s">
        <v>54</v>
      </c>
      <c r="E135" s="72" t="s">
        <v>67</v>
      </c>
      <c r="F135" s="72" t="s">
        <v>30</v>
      </c>
      <c r="G135" s="66">
        <v>4.0</v>
      </c>
      <c r="H135" s="74">
        <f t="shared" si="41"/>
        <v>5</v>
      </c>
      <c r="I135" s="66">
        <f t="shared" si="42"/>
        <v>4</v>
      </c>
      <c r="J135" s="66">
        <f t="shared" si="43"/>
        <v>3</v>
      </c>
      <c r="K135" s="74">
        <v>3.0</v>
      </c>
      <c r="L135" s="66">
        <v>0.0</v>
      </c>
      <c r="M135" s="66">
        <v>0.0</v>
      </c>
      <c r="N135" s="66">
        <v>0.0</v>
      </c>
      <c r="O135" s="66">
        <v>0.0</v>
      </c>
      <c r="P135" s="66">
        <v>0.0</v>
      </c>
      <c r="Q135" s="66">
        <v>0.0</v>
      </c>
      <c r="R135" s="66">
        <v>1.0</v>
      </c>
      <c r="S135" s="66">
        <v>0.0</v>
      </c>
      <c r="T135" s="66">
        <v>0.0</v>
      </c>
      <c r="U135" s="66">
        <v>0.0</v>
      </c>
      <c r="V135" s="66">
        <v>1.0</v>
      </c>
      <c r="W135" s="66">
        <v>0.0</v>
      </c>
      <c r="X135" s="75">
        <v>4.0</v>
      </c>
    </row>
    <row r="136" ht="15.75" customHeight="1">
      <c r="A136" s="68">
        <v>11.0</v>
      </c>
      <c r="B136" s="69">
        <v>45812.0</v>
      </c>
      <c r="C136" s="87">
        <v>0.8333333333333334</v>
      </c>
      <c r="D136" s="72" t="s">
        <v>54</v>
      </c>
      <c r="E136" s="72" t="s">
        <v>67</v>
      </c>
      <c r="F136" s="72" t="s">
        <v>35</v>
      </c>
      <c r="G136" s="66">
        <v>5.0</v>
      </c>
      <c r="H136" s="74">
        <f t="shared" si="41"/>
        <v>4</v>
      </c>
      <c r="I136" s="66">
        <f t="shared" si="42"/>
        <v>4</v>
      </c>
      <c r="J136" s="66">
        <f t="shared" si="43"/>
        <v>0</v>
      </c>
      <c r="K136" s="74">
        <v>0.0</v>
      </c>
      <c r="L136" s="66">
        <v>0.0</v>
      </c>
      <c r="M136" s="66">
        <v>0.0</v>
      </c>
      <c r="N136" s="66">
        <v>0.0</v>
      </c>
      <c r="O136" s="66">
        <v>0.0</v>
      </c>
      <c r="P136" s="66">
        <v>1.0</v>
      </c>
      <c r="Q136" s="66">
        <v>0.0</v>
      </c>
      <c r="R136" s="66">
        <v>0.0</v>
      </c>
      <c r="S136" s="66">
        <v>0.0</v>
      </c>
      <c r="T136" s="66">
        <v>1.0</v>
      </c>
      <c r="U136" s="66">
        <v>0.0</v>
      </c>
      <c r="V136" s="66">
        <v>2.0</v>
      </c>
      <c r="W136" s="66">
        <v>0.0</v>
      </c>
      <c r="X136" s="75">
        <v>0.0</v>
      </c>
    </row>
    <row r="137" ht="15.75" customHeight="1">
      <c r="A137" s="68">
        <v>11.0</v>
      </c>
      <c r="B137" s="69">
        <v>45812.0</v>
      </c>
      <c r="C137" s="87">
        <v>0.8333333333333334</v>
      </c>
      <c r="D137" s="72" t="s">
        <v>54</v>
      </c>
      <c r="E137" s="72" t="s">
        <v>67</v>
      </c>
      <c r="F137" s="72" t="s">
        <v>29</v>
      </c>
      <c r="G137" s="66">
        <v>6.0</v>
      </c>
      <c r="H137" s="74">
        <f t="shared" si="41"/>
        <v>4</v>
      </c>
      <c r="I137" s="66">
        <f t="shared" si="42"/>
        <v>4</v>
      </c>
      <c r="J137" s="66">
        <f t="shared" si="43"/>
        <v>3</v>
      </c>
      <c r="K137" s="74">
        <v>3.0</v>
      </c>
      <c r="L137" s="66">
        <v>0.0</v>
      </c>
      <c r="M137" s="66">
        <v>0.0</v>
      </c>
      <c r="N137" s="66">
        <v>0.0</v>
      </c>
      <c r="O137" s="66">
        <v>0.0</v>
      </c>
      <c r="P137" s="66">
        <v>0.0</v>
      </c>
      <c r="Q137" s="66">
        <v>0.0</v>
      </c>
      <c r="R137" s="66">
        <v>0.0</v>
      </c>
      <c r="S137" s="66">
        <v>0.0</v>
      </c>
      <c r="T137" s="66">
        <v>0.0</v>
      </c>
      <c r="U137" s="66">
        <v>0.0</v>
      </c>
      <c r="V137" s="66">
        <v>1.0</v>
      </c>
      <c r="W137" s="66">
        <v>1.0</v>
      </c>
      <c r="X137" s="75">
        <v>1.0</v>
      </c>
    </row>
    <row r="138" ht="15.75" customHeight="1">
      <c r="A138" s="68">
        <v>11.0</v>
      </c>
      <c r="B138" s="69">
        <v>45812.0</v>
      </c>
      <c r="C138" s="87">
        <v>0.8333333333333334</v>
      </c>
      <c r="D138" s="72" t="s">
        <v>54</v>
      </c>
      <c r="E138" s="72" t="s">
        <v>67</v>
      </c>
      <c r="F138" s="72" t="s">
        <v>37</v>
      </c>
      <c r="G138" s="66">
        <v>7.0</v>
      </c>
      <c r="H138" s="74">
        <f t="shared" si="41"/>
        <v>4</v>
      </c>
      <c r="I138" s="66">
        <f t="shared" si="42"/>
        <v>4</v>
      </c>
      <c r="J138" s="66">
        <f t="shared" si="43"/>
        <v>2</v>
      </c>
      <c r="K138" s="74">
        <v>2.0</v>
      </c>
      <c r="L138" s="66">
        <v>0.0</v>
      </c>
      <c r="M138" s="66">
        <v>0.0</v>
      </c>
      <c r="N138" s="66">
        <v>0.0</v>
      </c>
      <c r="O138" s="66">
        <v>0.0</v>
      </c>
      <c r="P138" s="66">
        <v>0.0</v>
      </c>
      <c r="Q138" s="66">
        <v>0.0</v>
      </c>
      <c r="R138" s="66">
        <v>0.0</v>
      </c>
      <c r="S138" s="66">
        <v>0.0</v>
      </c>
      <c r="T138" s="66">
        <v>0.0</v>
      </c>
      <c r="U138" s="66">
        <v>1.0</v>
      </c>
      <c r="V138" s="66">
        <v>1.0</v>
      </c>
      <c r="W138" s="66">
        <v>1.0</v>
      </c>
      <c r="X138" s="75">
        <v>0.0</v>
      </c>
    </row>
    <row r="139" ht="15.75" customHeight="1">
      <c r="A139" s="68">
        <v>11.0</v>
      </c>
      <c r="B139" s="69">
        <v>45812.0</v>
      </c>
      <c r="C139" s="87">
        <v>0.8333333333333334</v>
      </c>
      <c r="D139" s="72" t="s">
        <v>54</v>
      </c>
      <c r="E139" s="72" t="s">
        <v>67</v>
      </c>
      <c r="F139" s="72" t="s">
        <v>36</v>
      </c>
      <c r="G139" s="66">
        <v>8.0</v>
      </c>
      <c r="H139" s="74">
        <f t="shared" si="41"/>
        <v>4</v>
      </c>
      <c r="I139" s="66">
        <f t="shared" si="42"/>
        <v>4</v>
      </c>
      <c r="J139" s="66">
        <f t="shared" si="43"/>
        <v>3</v>
      </c>
      <c r="K139" s="74">
        <v>3.0</v>
      </c>
      <c r="L139" s="66">
        <v>0.0</v>
      </c>
      <c r="M139" s="66">
        <v>0.0</v>
      </c>
      <c r="N139" s="66">
        <v>0.0</v>
      </c>
      <c r="O139" s="66">
        <v>0.0</v>
      </c>
      <c r="P139" s="66">
        <v>0.0</v>
      </c>
      <c r="Q139" s="66">
        <v>0.0</v>
      </c>
      <c r="R139" s="66">
        <v>0.0</v>
      </c>
      <c r="S139" s="66">
        <v>0.0</v>
      </c>
      <c r="T139" s="66">
        <v>0.0</v>
      </c>
      <c r="U139" s="66">
        <v>0.0</v>
      </c>
      <c r="V139" s="66">
        <v>1.0</v>
      </c>
      <c r="W139" s="66">
        <v>2.0</v>
      </c>
      <c r="X139" s="75">
        <v>1.0</v>
      </c>
    </row>
    <row r="140" ht="15.75" customHeight="1">
      <c r="A140" s="68">
        <v>11.0</v>
      </c>
      <c r="B140" s="69">
        <v>45812.0</v>
      </c>
      <c r="C140" s="87">
        <v>0.8333333333333334</v>
      </c>
      <c r="D140" s="72" t="s">
        <v>54</v>
      </c>
      <c r="E140" s="72" t="s">
        <v>67</v>
      </c>
      <c r="F140" s="72" t="s">
        <v>40</v>
      </c>
      <c r="G140" s="66">
        <v>9.0</v>
      </c>
      <c r="H140" s="74">
        <f t="shared" si="41"/>
        <v>4</v>
      </c>
      <c r="I140" s="66">
        <f t="shared" si="42"/>
        <v>4</v>
      </c>
      <c r="J140" s="66">
        <f t="shared" si="43"/>
        <v>0</v>
      </c>
      <c r="K140" s="74">
        <v>0.0</v>
      </c>
      <c r="L140" s="66">
        <v>0.0</v>
      </c>
      <c r="M140" s="66">
        <v>0.0</v>
      </c>
      <c r="N140" s="66">
        <v>0.0</v>
      </c>
      <c r="O140" s="66">
        <v>0.0</v>
      </c>
      <c r="P140" s="66">
        <v>0.0</v>
      </c>
      <c r="Q140" s="66">
        <v>0.0</v>
      </c>
      <c r="R140" s="66">
        <v>0.0</v>
      </c>
      <c r="S140" s="66">
        <v>0.0</v>
      </c>
      <c r="T140" s="66">
        <v>0.0</v>
      </c>
      <c r="U140" s="66">
        <v>0.0</v>
      </c>
      <c r="V140" s="66">
        <v>4.0</v>
      </c>
      <c r="W140" s="66">
        <v>0.0</v>
      </c>
      <c r="X140" s="75">
        <v>0.0</v>
      </c>
    </row>
    <row r="141" ht="15.75" customHeight="1">
      <c r="A141" s="68">
        <v>11.0</v>
      </c>
      <c r="B141" s="69">
        <v>45812.0</v>
      </c>
      <c r="C141" s="87">
        <v>0.8333333333333334</v>
      </c>
      <c r="D141" s="72" t="s">
        <v>54</v>
      </c>
      <c r="E141" s="72" t="s">
        <v>67</v>
      </c>
      <c r="F141" s="72" t="s">
        <v>38</v>
      </c>
      <c r="G141" s="66">
        <v>10.0</v>
      </c>
      <c r="H141" s="74">
        <f t="shared" si="41"/>
        <v>4</v>
      </c>
      <c r="I141" s="66">
        <f t="shared" si="42"/>
        <v>4</v>
      </c>
      <c r="J141" s="66">
        <f t="shared" si="43"/>
        <v>1</v>
      </c>
      <c r="K141" s="74">
        <v>1.0</v>
      </c>
      <c r="L141" s="66">
        <v>0.0</v>
      </c>
      <c r="M141" s="66">
        <v>0.0</v>
      </c>
      <c r="N141" s="66">
        <v>0.0</v>
      </c>
      <c r="O141" s="66">
        <v>0.0</v>
      </c>
      <c r="P141" s="66">
        <v>0.0</v>
      </c>
      <c r="Q141" s="66">
        <v>0.0</v>
      </c>
      <c r="R141" s="66">
        <v>0.0</v>
      </c>
      <c r="S141" s="66">
        <v>0.0</v>
      </c>
      <c r="T141" s="66">
        <v>0.0</v>
      </c>
      <c r="U141" s="66">
        <v>2.0</v>
      </c>
      <c r="V141" s="66">
        <v>1.0</v>
      </c>
      <c r="W141" s="66">
        <v>1.0</v>
      </c>
      <c r="X141" s="75">
        <v>0.0</v>
      </c>
    </row>
    <row r="142" ht="15.75" customHeight="1">
      <c r="A142" s="93">
        <v>11.0</v>
      </c>
      <c r="B142" s="94">
        <v>45812.0</v>
      </c>
      <c r="C142" s="95">
        <v>0.8333333333333334</v>
      </c>
      <c r="D142" s="96" t="s">
        <v>54</v>
      </c>
      <c r="E142" s="96" t="s">
        <v>67</v>
      </c>
      <c r="F142" s="96" t="s">
        <v>44</v>
      </c>
      <c r="G142" s="97"/>
      <c r="H142" s="89">
        <f t="shared" ref="H142:X142" si="44">SUBTOTAL(109,H132:H141)</f>
        <v>44</v>
      </c>
      <c r="I142" s="90">
        <f t="shared" si="44"/>
        <v>42</v>
      </c>
      <c r="J142" s="90">
        <f t="shared" si="44"/>
        <v>24</v>
      </c>
      <c r="K142" s="89">
        <f t="shared" si="44"/>
        <v>19</v>
      </c>
      <c r="L142" s="90">
        <f t="shared" si="44"/>
        <v>3</v>
      </c>
      <c r="M142" s="90">
        <f t="shared" si="44"/>
        <v>2</v>
      </c>
      <c r="N142" s="90">
        <f t="shared" si="44"/>
        <v>0</v>
      </c>
      <c r="O142" s="90">
        <f t="shared" si="44"/>
        <v>0</v>
      </c>
      <c r="P142" s="90">
        <f t="shared" si="44"/>
        <v>1</v>
      </c>
      <c r="Q142" s="90">
        <f t="shared" si="44"/>
        <v>0</v>
      </c>
      <c r="R142" s="90">
        <f t="shared" si="44"/>
        <v>2</v>
      </c>
      <c r="S142" s="90">
        <f t="shared" si="44"/>
        <v>1</v>
      </c>
      <c r="T142" s="90">
        <f t="shared" si="44"/>
        <v>1</v>
      </c>
      <c r="U142" s="90">
        <f t="shared" si="44"/>
        <v>3</v>
      </c>
      <c r="V142" s="90">
        <f t="shared" si="44"/>
        <v>12</v>
      </c>
      <c r="W142" s="90">
        <f t="shared" si="44"/>
        <v>13</v>
      </c>
      <c r="X142" s="91">
        <f t="shared" si="44"/>
        <v>13</v>
      </c>
    </row>
    <row r="143" ht="15.75" customHeight="1">
      <c r="A143" s="68">
        <v>12.0</v>
      </c>
      <c r="B143" s="69">
        <v>45814.0</v>
      </c>
      <c r="C143" s="87">
        <v>0.8333333333333334</v>
      </c>
      <c r="D143" s="72" t="s">
        <v>58</v>
      </c>
      <c r="E143" s="72" t="s">
        <v>63</v>
      </c>
      <c r="F143" s="72" t="s">
        <v>26</v>
      </c>
      <c r="G143" s="66">
        <v>1.0</v>
      </c>
      <c r="H143" s="74">
        <f t="shared" ref="H143:H153" si="45">SUM(K143:V143)</f>
        <v>4</v>
      </c>
      <c r="I143" s="66">
        <f t="shared" ref="I143:I153" si="46">SUM(K143:P143,S143:V143)</f>
        <v>3</v>
      </c>
      <c r="J143" s="66">
        <f t="shared" ref="J143:J153" si="47">SUM(K143:O143)</f>
        <v>2</v>
      </c>
      <c r="K143" s="74">
        <v>0.0</v>
      </c>
      <c r="L143" s="66">
        <v>2.0</v>
      </c>
      <c r="M143" s="66">
        <v>0.0</v>
      </c>
      <c r="N143" s="66">
        <v>0.0</v>
      </c>
      <c r="O143" s="66">
        <v>0.0</v>
      </c>
      <c r="P143" s="66">
        <v>0.0</v>
      </c>
      <c r="Q143" s="66">
        <v>1.0</v>
      </c>
      <c r="R143" s="66">
        <v>0.0</v>
      </c>
      <c r="S143" s="66">
        <v>0.0</v>
      </c>
      <c r="T143" s="66">
        <v>0.0</v>
      </c>
      <c r="U143" s="66">
        <v>1.0</v>
      </c>
      <c r="V143" s="66">
        <v>0.0</v>
      </c>
      <c r="W143" s="66">
        <v>2.0</v>
      </c>
      <c r="X143" s="75">
        <v>2.0</v>
      </c>
    </row>
    <row r="144" ht="15.75" customHeight="1">
      <c r="A144" s="68">
        <v>12.0</v>
      </c>
      <c r="B144" s="69">
        <v>45814.0</v>
      </c>
      <c r="C144" s="87">
        <v>0.8333333333333334</v>
      </c>
      <c r="D144" s="72" t="s">
        <v>58</v>
      </c>
      <c r="E144" s="72" t="s">
        <v>63</v>
      </c>
      <c r="F144" s="72" t="s">
        <v>28</v>
      </c>
      <c r="G144" s="66">
        <v>2.0</v>
      </c>
      <c r="H144" s="74">
        <f t="shared" si="45"/>
        <v>4</v>
      </c>
      <c r="I144" s="66">
        <f t="shared" si="46"/>
        <v>4</v>
      </c>
      <c r="J144" s="66">
        <f t="shared" si="47"/>
        <v>3</v>
      </c>
      <c r="K144" s="74">
        <v>2.0</v>
      </c>
      <c r="L144" s="66">
        <v>1.0</v>
      </c>
      <c r="M144" s="66">
        <v>0.0</v>
      </c>
      <c r="N144" s="66">
        <v>0.0</v>
      </c>
      <c r="O144" s="66">
        <v>0.0</v>
      </c>
      <c r="P144" s="66">
        <v>0.0</v>
      </c>
      <c r="Q144" s="66">
        <v>0.0</v>
      </c>
      <c r="R144" s="66">
        <v>0.0</v>
      </c>
      <c r="S144" s="66">
        <v>0.0</v>
      </c>
      <c r="T144" s="66">
        <v>0.0</v>
      </c>
      <c r="U144" s="66">
        <v>0.0</v>
      </c>
      <c r="V144" s="66">
        <v>1.0</v>
      </c>
      <c r="W144" s="66">
        <v>2.0</v>
      </c>
      <c r="X144" s="75">
        <v>3.0</v>
      </c>
    </row>
    <row r="145" ht="15.75" customHeight="1">
      <c r="A145" s="68">
        <v>12.0</v>
      </c>
      <c r="B145" s="69">
        <v>45814.0</v>
      </c>
      <c r="C145" s="87">
        <v>0.8333333333333334</v>
      </c>
      <c r="D145" s="72" t="s">
        <v>58</v>
      </c>
      <c r="E145" s="72" t="s">
        <v>63</v>
      </c>
      <c r="F145" s="72" t="s">
        <v>29</v>
      </c>
      <c r="G145" s="66">
        <v>3.0</v>
      </c>
      <c r="H145" s="74">
        <f t="shared" si="45"/>
        <v>4</v>
      </c>
      <c r="I145" s="66">
        <f t="shared" si="46"/>
        <v>4</v>
      </c>
      <c r="J145" s="66">
        <f t="shared" si="47"/>
        <v>2</v>
      </c>
      <c r="K145" s="74">
        <v>2.0</v>
      </c>
      <c r="L145" s="66">
        <v>0.0</v>
      </c>
      <c r="M145" s="66">
        <v>0.0</v>
      </c>
      <c r="N145" s="66">
        <v>0.0</v>
      </c>
      <c r="O145" s="66">
        <v>0.0</v>
      </c>
      <c r="P145" s="66">
        <v>2.0</v>
      </c>
      <c r="Q145" s="66">
        <v>0.0</v>
      </c>
      <c r="R145" s="66">
        <v>0.0</v>
      </c>
      <c r="S145" s="66">
        <v>0.0</v>
      </c>
      <c r="T145" s="66">
        <v>0.0</v>
      </c>
      <c r="U145" s="66">
        <v>0.0</v>
      </c>
      <c r="V145" s="66">
        <v>0.0</v>
      </c>
      <c r="W145" s="66">
        <v>0.0</v>
      </c>
      <c r="X145" s="75">
        <v>0.0</v>
      </c>
    </row>
    <row r="146" ht="15.75" customHeight="1">
      <c r="A146" s="68">
        <v>12.0</v>
      </c>
      <c r="B146" s="69">
        <v>45814.0</v>
      </c>
      <c r="C146" s="87">
        <v>0.8333333333333334</v>
      </c>
      <c r="D146" s="72" t="s">
        <v>58</v>
      </c>
      <c r="E146" s="72" t="s">
        <v>63</v>
      </c>
      <c r="F146" s="72" t="s">
        <v>33</v>
      </c>
      <c r="G146" s="66">
        <v>4.0</v>
      </c>
      <c r="H146" s="74">
        <f t="shared" si="45"/>
        <v>4</v>
      </c>
      <c r="I146" s="66">
        <f t="shared" si="46"/>
        <v>4</v>
      </c>
      <c r="J146" s="66">
        <f t="shared" si="47"/>
        <v>2</v>
      </c>
      <c r="K146" s="74">
        <v>2.0</v>
      </c>
      <c r="L146" s="66">
        <v>0.0</v>
      </c>
      <c r="M146" s="66">
        <v>0.0</v>
      </c>
      <c r="N146" s="66">
        <v>0.0</v>
      </c>
      <c r="O146" s="66">
        <v>0.0</v>
      </c>
      <c r="P146" s="66">
        <v>0.0</v>
      </c>
      <c r="Q146" s="66">
        <v>0.0</v>
      </c>
      <c r="R146" s="66">
        <v>0.0</v>
      </c>
      <c r="S146" s="66">
        <v>0.0</v>
      </c>
      <c r="T146" s="66">
        <v>0.0</v>
      </c>
      <c r="U146" s="66">
        <v>0.0</v>
      </c>
      <c r="V146" s="66">
        <v>2.0</v>
      </c>
      <c r="W146" s="66">
        <v>0.0</v>
      </c>
      <c r="X146" s="75">
        <v>2.0</v>
      </c>
    </row>
    <row r="147" ht="15.75" customHeight="1">
      <c r="A147" s="68">
        <v>12.0</v>
      </c>
      <c r="B147" s="69">
        <v>45814.0</v>
      </c>
      <c r="C147" s="87">
        <v>0.8333333333333334</v>
      </c>
      <c r="D147" s="72" t="s">
        <v>58</v>
      </c>
      <c r="E147" s="72" t="s">
        <v>63</v>
      </c>
      <c r="F147" s="72" t="s">
        <v>37</v>
      </c>
      <c r="G147" s="66">
        <v>5.0</v>
      </c>
      <c r="H147" s="74">
        <f t="shared" si="45"/>
        <v>3</v>
      </c>
      <c r="I147" s="66">
        <f t="shared" si="46"/>
        <v>3</v>
      </c>
      <c r="J147" s="66">
        <f t="shared" si="47"/>
        <v>1</v>
      </c>
      <c r="K147" s="74">
        <v>1.0</v>
      </c>
      <c r="L147" s="66">
        <v>0.0</v>
      </c>
      <c r="M147" s="66">
        <v>0.0</v>
      </c>
      <c r="N147" s="66">
        <v>0.0</v>
      </c>
      <c r="O147" s="66">
        <v>0.0</v>
      </c>
      <c r="P147" s="66">
        <v>0.0</v>
      </c>
      <c r="Q147" s="66">
        <v>0.0</v>
      </c>
      <c r="R147" s="66">
        <v>0.0</v>
      </c>
      <c r="S147" s="66">
        <v>0.0</v>
      </c>
      <c r="T147" s="66">
        <v>0.0</v>
      </c>
      <c r="U147" s="66">
        <v>0.0</v>
      </c>
      <c r="V147" s="66">
        <v>2.0</v>
      </c>
      <c r="W147" s="66">
        <v>0.0</v>
      </c>
      <c r="X147" s="75">
        <v>0.0</v>
      </c>
    </row>
    <row r="148" ht="15.75" customHeight="1">
      <c r="A148" s="68">
        <v>12.0</v>
      </c>
      <c r="B148" s="69">
        <v>45814.0</v>
      </c>
      <c r="C148" s="87">
        <v>0.8333333333333334</v>
      </c>
      <c r="D148" s="72" t="s">
        <v>58</v>
      </c>
      <c r="E148" s="72" t="s">
        <v>63</v>
      </c>
      <c r="F148" s="72" t="s">
        <v>27</v>
      </c>
      <c r="G148" s="66">
        <v>6.0</v>
      </c>
      <c r="H148" s="74">
        <f t="shared" si="45"/>
        <v>3</v>
      </c>
      <c r="I148" s="66">
        <f t="shared" si="46"/>
        <v>3</v>
      </c>
      <c r="J148" s="66">
        <f t="shared" si="47"/>
        <v>1</v>
      </c>
      <c r="K148" s="74">
        <v>1.0</v>
      </c>
      <c r="L148" s="66">
        <v>0.0</v>
      </c>
      <c r="M148" s="66">
        <v>0.0</v>
      </c>
      <c r="N148" s="66">
        <v>0.0</v>
      </c>
      <c r="O148" s="66">
        <v>0.0</v>
      </c>
      <c r="P148" s="66">
        <v>0.0</v>
      </c>
      <c r="Q148" s="66">
        <v>0.0</v>
      </c>
      <c r="R148" s="66">
        <v>0.0</v>
      </c>
      <c r="S148" s="66">
        <v>0.0</v>
      </c>
      <c r="T148" s="66">
        <v>0.0</v>
      </c>
      <c r="U148" s="66">
        <v>0.0</v>
      </c>
      <c r="V148" s="66">
        <v>2.0</v>
      </c>
      <c r="W148" s="66">
        <v>1.0</v>
      </c>
      <c r="X148" s="75">
        <v>0.0</v>
      </c>
    </row>
    <row r="149" ht="15.75" customHeight="1">
      <c r="A149" s="68">
        <v>12.0</v>
      </c>
      <c r="B149" s="69">
        <v>45814.0</v>
      </c>
      <c r="C149" s="87">
        <v>0.8333333333333334</v>
      </c>
      <c r="D149" s="72" t="s">
        <v>58</v>
      </c>
      <c r="E149" s="72" t="s">
        <v>63</v>
      </c>
      <c r="F149" s="72" t="s">
        <v>34</v>
      </c>
      <c r="G149" s="66">
        <v>7.0</v>
      </c>
      <c r="H149" s="74">
        <f t="shared" si="45"/>
        <v>3</v>
      </c>
      <c r="I149" s="66">
        <f t="shared" si="46"/>
        <v>3</v>
      </c>
      <c r="J149" s="66">
        <f t="shared" si="47"/>
        <v>2</v>
      </c>
      <c r="K149" s="74">
        <v>2.0</v>
      </c>
      <c r="L149" s="66">
        <v>0.0</v>
      </c>
      <c r="M149" s="66">
        <v>0.0</v>
      </c>
      <c r="N149" s="66">
        <v>0.0</v>
      </c>
      <c r="O149" s="66">
        <v>0.0</v>
      </c>
      <c r="P149" s="66">
        <v>0.0</v>
      </c>
      <c r="Q149" s="66">
        <v>0.0</v>
      </c>
      <c r="R149" s="66">
        <v>0.0</v>
      </c>
      <c r="S149" s="66">
        <v>0.0</v>
      </c>
      <c r="T149" s="66">
        <v>0.0</v>
      </c>
      <c r="U149" s="66">
        <v>0.0</v>
      </c>
      <c r="V149" s="66">
        <v>1.0</v>
      </c>
      <c r="W149" s="66">
        <v>1.0</v>
      </c>
      <c r="X149" s="75">
        <v>0.0</v>
      </c>
    </row>
    <row r="150" ht="15.75" customHeight="1">
      <c r="A150" s="68">
        <v>12.0</v>
      </c>
      <c r="B150" s="69">
        <v>45814.0</v>
      </c>
      <c r="C150" s="87">
        <v>0.8333333333333334</v>
      </c>
      <c r="D150" s="72" t="s">
        <v>58</v>
      </c>
      <c r="E150" s="72" t="s">
        <v>63</v>
      </c>
      <c r="F150" s="72" t="s">
        <v>38</v>
      </c>
      <c r="G150" s="66">
        <v>8.0</v>
      </c>
      <c r="H150" s="74">
        <f t="shared" si="45"/>
        <v>3</v>
      </c>
      <c r="I150" s="66">
        <f t="shared" si="46"/>
        <v>3</v>
      </c>
      <c r="J150" s="66">
        <f t="shared" si="47"/>
        <v>1</v>
      </c>
      <c r="K150" s="74">
        <v>1.0</v>
      </c>
      <c r="L150" s="66">
        <v>0.0</v>
      </c>
      <c r="M150" s="66">
        <v>0.0</v>
      </c>
      <c r="N150" s="66">
        <v>0.0</v>
      </c>
      <c r="O150" s="66">
        <v>0.0</v>
      </c>
      <c r="P150" s="66">
        <v>0.0</v>
      </c>
      <c r="Q150" s="66">
        <v>0.0</v>
      </c>
      <c r="R150" s="66">
        <v>0.0</v>
      </c>
      <c r="S150" s="66">
        <v>0.0</v>
      </c>
      <c r="T150" s="66">
        <v>0.0</v>
      </c>
      <c r="U150" s="66">
        <v>2.0</v>
      </c>
      <c r="V150" s="66">
        <v>0.0</v>
      </c>
      <c r="W150" s="66">
        <v>0.0</v>
      </c>
      <c r="X150" s="75">
        <v>0.0</v>
      </c>
    </row>
    <row r="151" ht="15.75" customHeight="1">
      <c r="A151" s="68">
        <v>12.0</v>
      </c>
      <c r="B151" s="69">
        <v>45814.0</v>
      </c>
      <c r="C151" s="87">
        <v>0.8333333333333334</v>
      </c>
      <c r="D151" s="72" t="s">
        <v>58</v>
      </c>
      <c r="E151" s="72" t="s">
        <v>63</v>
      </c>
      <c r="F151" s="72" t="s">
        <v>36</v>
      </c>
      <c r="G151" s="66">
        <v>9.0</v>
      </c>
      <c r="H151" s="74">
        <f t="shared" si="45"/>
        <v>3</v>
      </c>
      <c r="I151" s="66">
        <f t="shared" si="46"/>
        <v>3</v>
      </c>
      <c r="J151" s="66">
        <f t="shared" si="47"/>
        <v>2</v>
      </c>
      <c r="K151" s="74">
        <v>2.0</v>
      </c>
      <c r="L151" s="66">
        <v>0.0</v>
      </c>
      <c r="M151" s="66">
        <v>0.0</v>
      </c>
      <c r="N151" s="66">
        <v>0.0</v>
      </c>
      <c r="O151" s="66">
        <v>0.0</v>
      </c>
      <c r="P151" s="66">
        <v>0.0</v>
      </c>
      <c r="Q151" s="66">
        <v>0.0</v>
      </c>
      <c r="R151" s="66">
        <v>0.0</v>
      </c>
      <c r="S151" s="66">
        <v>0.0</v>
      </c>
      <c r="T151" s="66">
        <v>0.0</v>
      </c>
      <c r="U151" s="66">
        <v>0.0</v>
      </c>
      <c r="V151" s="66">
        <v>1.0</v>
      </c>
      <c r="W151" s="66">
        <v>1.0</v>
      </c>
      <c r="X151" s="75">
        <v>0.0</v>
      </c>
    </row>
    <row r="152" ht="15.75" customHeight="1">
      <c r="A152" s="68">
        <v>12.0</v>
      </c>
      <c r="B152" s="69">
        <v>45814.0</v>
      </c>
      <c r="C152" s="87">
        <v>0.8333333333333334</v>
      </c>
      <c r="D152" s="72" t="s">
        <v>58</v>
      </c>
      <c r="E152" s="72" t="s">
        <v>63</v>
      </c>
      <c r="F152" s="72" t="s">
        <v>35</v>
      </c>
      <c r="G152" s="66">
        <v>10.0</v>
      </c>
      <c r="H152" s="74">
        <f t="shared" si="45"/>
        <v>3</v>
      </c>
      <c r="I152" s="66">
        <f t="shared" si="46"/>
        <v>2</v>
      </c>
      <c r="J152" s="66">
        <f t="shared" si="47"/>
        <v>1</v>
      </c>
      <c r="K152" s="74">
        <v>1.0</v>
      </c>
      <c r="L152" s="66">
        <v>0.0</v>
      </c>
      <c r="M152" s="66">
        <v>0.0</v>
      </c>
      <c r="N152" s="66">
        <v>0.0</v>
      </c>
      <c r="O152" s="66">
        <v>0.0</v>
      </c>
      <c r="P152" s="66">
        <v>0.0</v>
      </c>
      <c r="Q152" s="66">
        <v>0.0</v>
      </c>
      <c r="R152" s="66">
        <v>1.0</v>
      </c>
      <c r="S152" s="66">
        <v>0.0</v>
      </c>
      <c r="T152" s="66">
        <v>0.0</v>
      </c>
      <c r="U152" s="66">
        <v>0.0</v>
      </c>
      <c r="V152" s="66">
        <v>1.0</v>
      </c>
      <c r="W152" s="66">
        <v>1.0</v>
      </c>
      <c r="X152" s="75">
        <v>2.0</v>
      </c>
    </row>
    <row r="153" ht="15.75" customHeight="1">
      <c r="A153" s="68">
        <v>12.0</v>
      </c>
      <c r="B153" s="69">
        <v>45814.0</v>
      </c>
      <c r="C153" s="87">
        <v>0.8333333333333334</v>
      </c>
      <c r="D153" s="72" t="s">
        <v>58</v>
      </c>
      <c r="E153" s="72" t="s">
        <v>63</v>
      </c>
      <c r="F153" s="72" t="s">
        <v>40</v>
      </c>
      <c r="G153" s="66">
        <v>11.0</v>
      </c>
      <c r="H153" s="74">
        <f t="shared" si="45"/>
        <v>3</v>
      </c>
      <c r="I153" s="66">
        <f t="shared" si="46"/>
        <v>3</v>
      </c>
      <c r="J153" s="66">
        <f t="shared" si="47"/>
        <v>1</v>
      </c>
      <c r="K153" s="74">
        <v>1.0</v>
      </c>
      <c r="L153" s="66">
        <v>0.0</v>
      </c>
      <c r="M153" s="66">
        <v>0.0</v>
      </c>
      <c r="N153" s="66">
        <v>0.0</v>
      </c>
      <c r="O153" s="66">
        <v>0.0</v>
      </c>
      <c r="P153" s="66">
        <v>1.0</v>
      </c>
      <c r="Q153" s="66">
        <v>0.0</v>
      </c>
      <c r="R153" s="66">
        <v>0.0</v>
      </c>
      <c r="S153" s="66">
        <v>0.0</v>
      </c>
      <c r="T153" s="66">
        <v>0.0</v>
      </c>
      <c r="U153" s="66">
        <v>0.0</v>
      </c>
      <c r="V153" s="66">
        <v>1.0</v>
      </c>
      <c r="W153" s="66">
        <v>1.0</v>
      </c>
      <c r="X153" s="75">
        <v>0.0</v>
      </c>
    </row>
    <row r="154" ht="15.75" customHeight="1">
      <c r="A154" s="93">
        <v>12.0</v>
      </c>
      <c r="B154" s="94">
        <v>45814.0</v>
      </c>
      <c r="C154" s="95">
        <v>0.8333333333333334</v>
      </c>
      <c r="D154" s="96" t="s">
        <v>58</v>
      </c>
      <c r="E154" s="96" t="s">
        <v>63</v>
      </c>
      <c r="F154" s="96" t="s">
        <v>44</v>
      </c>
      <c r="G154" s="97"/>
      <c r="H154" s="89">
        <f t="shared" ref="H154:X154" si="48">SUBTOTAL(109,H143:H153)</f>
        <v>37</v>
      </c>
      <c r="I154" s="90">
        <f t="shared" si="48"/>
        <v>35</v>
      </c>
      <c r="J154" s="90">
        <f t="shared" si="48"/>
        <v>18</v>
      </c>
      <c r="K154" s="89">
        <f t="shared" si="48"/>
        <v>15</v>
      </c>
      <c r="L154" s="90">
        <f t="shared" si="48"/>
        <v>3</v>
      </c>
      <c r="M154" s="90">
        <f t="shared" si="48"/>
        <v>0</v>
      </c>
      <c r="N154" s="90">
        <f t="shared" si="48"/>
        <v>0</v>
      </c>
      <c r="O154" s="90">
        <f t="shared" si="48"/>
        <v>0</v>
      </c>
      <c r="P154" s="90">
        <f t="shared" si="48"/>
        <v>3</v>
      </c>
      <c r="Q154" s="90">
        <f t="shared" si="48"/>
        <v>1</v>
      </c>
      <c r="R154" s="90">
        <f t="shared" si="48"/>
        <v>1</v>
      </c>
      <c r="S154" s="90">
        <f t="shared" si="48"/>
        <v>0</v>
      </c>
      <c r="T154" s="90">
        <f t="shared" si="48"/>
        <v>0</v>
      </c>
      <c r="U154" s="90">
        <f t="shared" si="48"/>
        <v>3</v>
      </c>
      <c r="V154" s="90">
        <f t="shared" si="48"/>
        <v>11</v>
      </c>
      <c r="W154" s="90">
        <f t="shared" si="48"/>
        <v>9</v>
      </c>
      <c r="X154" s="91">
        <f t="shared" si="48"/>
        <v>9</v>
      </c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ht="15.75" customHeight="1">
      <c r="A155" s="68">
        <v>13.0</v>
      </c>
      <c r="B155" s="69">
        <v>45816.0</v>
      </c>
      <c r="C155" s="87">
        <v>0.7083333333333334</v>
      </c>
      <c r="D155" s="72" t="s">
        <v>54</v>
      </c>
      <c r="E155" s="72" t="s">
        <v>60</v>
      </c>
      <c r="F155" s="72" t="s">
        <v>26</v>
      </c>
      <c r="G155" s="66">
        <v>1.0</v>
      </c>
      <c r="H155" s="74">
        <f t="shared" ref="H155:H166" si="49">SUM(K155:V155)</f>
        <v>4</v>
      </c>
      <c r="I155" s="66">
        <f t="shared" ref="I155:I166" si="50">SUM(K155:P155,S155:V155)</f>
        <v>4</v>
      </c>
      <c r="J155" s="66">
        <f t="shared" ref="J155:J166" si="51">SUM(K155:O155)</f>
        <v>3</v>
      </c>
      <c r="K155" s="74">
        <v>2.0</v>
      </c>
      <c r="L155" s="66">
        <v>0.0</v>
      </c>
      <c r="M155" s="66">
        <v>0.0</v>
      </c>
      <c r="N155" s="66">
        <v>0.0</v>
      </c>
      <c r="O155" s="66">
        <v>1.0</v>
      </c>
      <c r="P155" s="66">
        <v>0.0</v>
      </c>
      <c r="Q155" s="66">
        <v>0.0</v>
      </c>
      <c r="R155" s="66">
        <v>0.0</v>
      </c>
      <c r="S155" s="66">
        <v>0.0</v>
      </c>
      <c r="T155" s="66">
        <v>1.0</v>
      </c>
      <c r="U155" s="66">
        <v>0.0</v>
      </c>
      <c r="V155" s="66">
        <v>0.0</v>
      </c>
      <c r="W155" s="66">
        <v>3.0</v>
      </c>
      <c r="X155" s="75">
        <v>3.0</v>
      </c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ht="15.75" customHeight="1">
      <c r="A156" s="68">
        <v>13.0</v>
      </c>
      <c r="B156" s="69">
        <v>45816.0</v>
      </c>
      <c r="C156" s="87">
        <v>0.7083333333333334</v>
      </c>
      <c r="D156" s="72" t="s">
        <v>54</v>
      </c>
      <c r="E156" s="72" t="s">
        <v>60</v>
      </c>
      <c r="F156" s="72" t="s">
        <v>28</v>
      </c>
      <c r="G156" s="66">
        <v>2.0</v>
      </c>
      <c r="H156" s="74">
        <f t="shared" si="49"/>
        <v>4</v>
      </c>
      <c r="I156" s="66">
        <f t="shared" si="50"/>
        <v>4</v>
      </c>
      <c r="J156" s="66">
        <f t="shared" si="51"/>
        <v>4</v>
      </c>
      <c r="K156" s="74">
        <v>4.0</v>
      </c>
      <c r="L156" s="66">
        <v>0.0</v>
      </c>
      <c r="M156" s="66">
        <v>0.0</v>
      </c>
      <c r="N156" s="66">
        <v>0.0</v>
      </c>
      <c r="O156" s="66">
        <v>0.0</v>
      </c>
      <c r="P156" s="66">
        <v>0.0</v>
      </c>
      <c r="Q156" s="66">
        <v>0.0</v>
      </c>
      <c r="R156" s="66">
        <v>0.0</v>
      </c>
      <c r="S156" s="66">
        <v>0.0</v>
      </c>
      <c r="T156" s="66">
        <v>0.0</v>
      </c>
      <c r="U156" s="66">
        <v>0.0</v>
      </c>
      <c r="V156" s="66">
        <v>0.0</v>
      </c>
      <c r="W156" s="66">
        <v>3.0</v>
      </c>
      <c r="X156" s="75">
        <v>2.0</v>
      </c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ht="15.75" customHeight="1">
      <c r="A157" s="68">
        <v>13.0</v>
      </c>
      <c r="B157" s="69">
        <v>45816.0</v>
      </c>
      <c r="C157" s="87">
        <v>0.7083333333333334</v>
      </c>
      <c r="D157" s="72" t="s">
        <v>54</v>
      </c>
      <c r="E157" s="72" t="s">
        <v>60</v>
      </c>
      <c r="F157" s="72" t="s">
        <v>32</v>
      </c>
      <c r="G157" s="66">
        <v>3.0</v>
      </c>
      <c r="H157" s="74">
        <f t="shared" si="49"/>
        <v>4</v>
      </c>
      <c r="I157" s="66">
        <f t="shared" si="50"/>
        <v>4</v>
      </c>
      <c r="J157" s="66">
        <f t="shared" si="51"/>
        <v>3</v>
      </c>
      <c r="K157" s="74">
        <v>3.0</v>
      </c>
      <c r="L157" s="66">
        <v>0.0</v>
      </c>
      <c r="M157" s="66">
        <v>0.0</v>
      </c>
      <c r="N157" s="66">
        <v>0.0</v>
      </c>
      <c r="O157" s="66">
        <v>0.0</v>
      </c>
      <c r="P157" s="66">
        <v>0.0</v>
      </c>
      <c r="Q157" s="66">
        <v>0.0</v>
      </c>
      <c r="R157" s="66">
        <v>0.0</v>
      </c>
      <c r="S157" s="66">
        <v>0.0</v>
      </c>
      <c r="T157" s="66">
        <v>0.0</v>
      </c>
      <c r="U157" s="66">
        <v>0.0</v>
      </c>
      <c r="V157" s="66">
        <v>1.0</v>
      </c>
      <c r="W157" s="66">
        <v>2.0</v>
      </c>
      <c r="X157" s="75">
        <v>1.0</v>
      </c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ht="15.75" customHeight="1">
      <c r="A158" s="68">
        <v>13.0</v>
      </c>
      <c r="B158" s="69">
        <v>45816.0</v>
      </c>
      <c r="C158" s="87">
        <v>0.7083333333333334</v>
      </c>
      <c r="D158" s="72" t="s">
        <v>54</v>
      </c>
      <c r="E158" s="72" t="s">
        <v>60</v>
      </c>
      <c r="F158" s="72" t="s">
        <v>30</v>
      </c>
      <c r="G158" s="66">
        <v>4.0</v>
      </c>
      <c r="H158" s="74">
        <f t="shared" si="49"/>
        <v>4</v>
      </c>
      <c r="I158" s="66">
        <f t="shared" si="50"/>
        <v>4</v>
      </c>
      <c r="J158" s="66">
        <f t="shared" si="51"/>
        <v>3</v>
      </c>
      <c r="K158" s="74">
        <v>2.0</v>
      </c>
      <c r="L158" s="66">
        <v>0.0</v>
      </c>
      <c r="M158" s="66">
        <v>0.0</v>
      </c>
      <c r="N158" s="66">
        <v>0.0</v>
      </c>
      <c r="O158" s="66">
        <v>1.0</v>
      </c>
      <c r="P158" s="66">
        <v>0.0</v>
      </c>
      <c r="Q158" s="66">
        <v>0.0</v>
      </c>
      <c r="R158" s="66">
        <v>0.0</v>
      </c>
      <c r="S158" s="66">
        <v>0.0</v>
      </c>
      <c r="T158" s="66">
        <v>0.0</v>
      </c>
      <c r="U158" s="66">
        <v>0.0</v>
      </c>
      <c r="V158" s="66">
        <v>1.0</v>
      </c>
      <c r="W158" s="66">
        <v>1.0</v>
      </c>
      <c r="X158" s="75">
        <v>4.0</v>
      </c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ht="15.75" customHeight="1">
      <c r="A159" s="68">
        <v>13.0</v>
      </c>
      <c r="B159" s="69">
        <v>45816.0</v>
      </c>
      <c r="C159" s="87">
        <v>0.7083333333333334</v>
      </c>
      <c r="D159" s="72" t="s">
        <v>54</v>
      </c>
      <c r="E159" s="72" t="s">
        <v>60</v>
      </c>
      <c r="F159" s="72" t="s">
        <v>33</v>
      </c>
      <c r="G159" s="66">
        <v>5.0</v>
      </c>
      <c r="H159" s="74">
        <f t="shared" si="49"/>
        <v>4</v>
      </c>
      <c r="I159" s="66">
        <f t="shared" si="50"/>
        <v>4</v>
      </c>
      <c r="J159" s="66">
        <f t="shared" si="51"/>
        <v>1</v>
      </c>
      <c r="K159" s="74">
        <v>0.0</v>
      </c>
      <c r="L159" s="66">
        <v>1.0</v>
      </c>
      <c r="M159" s="66">
        <v>0.0</v>
      </c>
      <c r="N159" s="66">
        <v>0.0</v>
      </c>
      <c r="O159" s="66">
        <v>0.0</v>
      </c>
      <c r="P159" s="66">
        <v>2.0</v>
      </c>
      <c r="Q159" s="66">
        <v>0.0</v>
      </c>
      <c r="R159" s="66">
        <v>0.0</v>
      </c>
      <c r="S159" s="66">
        <v>0.0</v>
      </c>
      <c r="T159" s="66">
        <v>0.0</v>
      </c>
      <c r="U159" s="66">
        <v>0.0</v>
      </c>
      <c r="V159" s="66">
        <v>1.0</v>
      </c>
      <c r="W159" s="66">
        <v>0.0</v>
      </c>
      <c r="X159" s="75">
        <v>2.0</v>
      </c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ht="15.75" customHeight="1">
      <c r="A160" s="68">
        <v>13.0</v>
      </c>
      <c r="B160" s="69">
        <v>45816.0</v>
      </c>
      <c r="C160" s="87">
        <v>0.7083333333333334</v>
      </c>
      <c r="D160" s="72" t="s">
        <v>54</v>
      </c>
      <c r="E160" s="72" t="s">
        <v>60</v>
      </c>
      <c r="F160" s="72" t="s">
        <v>27</v>
      </c>
      <c r="G160" s="66">
        <v>6.0</v>
      </c>
      <c r="H160" s="74">
        <f t="shared" si="49"/>
        <v>4</v>
      </c>
      <c r="I160" s="66">
        <f t="shared" si="50"/>
        <v>4</v>
      </c>
      <c r="J160" s="66">
        <f t="shared" si="51"/>
        <v>1</v>
      </c>
      <c r="K160" s="74">
        <v>1.0</v>
      </c>
      <c r="L160" s="66">
        <v>0.0</v>
      </c>
      <c r="M160" s="66">
        <v>0.0</v>
      </c>
      <c r="N160" s="66">
        <v>0.0</v>
      </c>
      <c r="O160" s="66">
        <v>0.0</v>
      </c>
      <c r="P160" s="66">
        <v>0.0</v>
      </c>
      <c r="Q160" s="66">
        <v>0.0</v>
      </c>
      <c r="R160" s="66">
        <v>0.0</v>
      </c>
      <c r="S160" s="66">
        <v>0.0</v>
      </c>
      <c r="T160" s="66">
        <v>0.0</v>
      </c>
      <c r="U160" s="66">
        <v>1.0</v>
      </c>
      <c r="V160" s="66">
        <v>2.0</v>
      </c>
      <c r="W160" s="66">
        <v>0.0</v>
      </c>
      <c r="X160" s="75">
        <v>0.0</v>
      </c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ht="15.75" customHeight="1">
      <c r="A161" s="68">
        <v>13.0</v>
      </c>
      <c r="B161" s="69">
        <v>45816.0</v>
      </c>
      <c r="C161" s="87">
        <v>0.7083333333333334</v>
      </c>
      <c r="D161" s="72" t="s">
        <v>54</v>
      </c>
      <c r="E161" s="72" t="s">
        <v>60</v>
      </c>
      <c r="F161" s="72" t="s">
        <v>35</v>
      </c>
      <c r="G161" s="66">
        <v>7.0</v>
      </c>
      <c r="H161" s="74">
        <f t="shared" si="49"/>
        <v>4</v>
      </c>
      <c r="I161" s="66">
        <f t="shared" si="50"/>
        <v>4</v>
      </c>
      <c r="J161" s="66">
        <f t="shared" si="51"/>
        <v>2</v>
      </c>
      <c r="K161" s="74">
        <v>1.0</v>
      </c>
      <c r="L161" s="66">
        <v>1.0</v>
      </c>
      <c r="M161" s="66">
        <v>0.0</v>
      </c>
      <c r="N161" s="66">
        <v>0.0</v>
      </c>
      <c r="O161" s="66">
        <v>0.0</v>
      </c>
      <c r="P161" s="66">
        <v>0.0</v>
      </c>
      <c r="Q161" s="66">
        <v>0.0</v>
      </c>
      <c r="R161" s="66">
        <v>0.0</v>
      </c>
      <c r="S161" s="66">
        <v>0.0</v>
      </c>
      <c r="T161" s="66">
        <v>0.0</v>
      </c>
      <c r="U161" s="66">
        <v>0.0</v>
      </c>
      <c r="V161" s="66">
        <v>2.0</v>
      </c>
      <c r="W161" s="66">
        <v>1.0</v>
      </c>
      <c r="X161" s="75">
        <v>0.0</v>
      </c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ht="15.75" customHeight="1">
      <c r="A162" s="68">
        <v>13.0</v>
      </c>
      <c r="B162" s="69">
        <v>45816.0</v>
      </c>
      <c r="C162" s="87">
        <v>0.7083333333333334</v>
      </c>
      <c r="D162" s="72" t="s">
        <v>54</v>
      </c>
      <c r="E162" s="72" t="s">
        <v>60</v>
      </c>
      <c r="F162" s="72" t="s">
        <v>37</v>
      </c>
      <c r="G162" s="66">
        <v>8.0</v>
      </c>
      <c r="H162" s="74">
        <f t="shared" si="49"/>
        <v>4</v>
      </c>
      <c r="I162" s="66">
        <f t="shared" si="50"/>
        <v>4</v>
      </c>
      <c r="J162" s="66">
        <f t="shared" si="51"/>
        <v>0</v>
      </c>
      <c r="K162" s="74">
        <v>0.0</v>
      </c>
      <c r="L162" s="66">
        <v>0.0</v>
      </c>
      <c r="M162" s="66">
        <v>0.0</v>
      </c>
      <c r="N162" s="66">
        <v>0.0</v>
      </c>
      <c r="O162" s="66">
        <v>0.0</v>
      </c>
      <c r="P162" s="66">
        <v>2.0</v>
      </c>
      <c r="Q162" s="66">
        <v>0.0</v>
      </c>
      <c r="R162" s="66">
        <v>0.0</v>
      </c>
      <c r="S162" s="66">
        <v>0.0</v>
      </c>
      <c r="T162" s="66">
        <v>0.0</v>
      </c>
      <c r="U162" s="66">
        <v>1.0</v>
      </c>
      <c r="V162" s="66">
        <v>1.0</v>
      </c>
      <c r="W162" s="66">
        <v>0.0</v>
      </c>
      <c r="X162" s="75">
        <v>0.0</v>
      </c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ht="15.75" customHeight="1">
      <c r="A163" s="68">
        <v>13.0</v>
      </c>
      <c r="B163" s="69">
        <v>45816.0</v>
      </c>
      <c r="C163" s="87">
        <v>0.7083333333333334</v>
      </c>
      <c r="D163" s="72" t="s">
        <v>54</v>
      </c>
      <c r="E163" s="72" t="s">
        <v>60</v>
      </c>
      <c r="F163" s="72" t="s">
        <v>29</v>
      </c>
      <c r="G163" s="66">
        <v>9.0</v>
      </c>
      <c r="H163" s="74">
        <f t="shared" si="49"/>
        <v>3</v>
      </c>
      <c r="I163" s="66">
        <f t="shared" si="50"/>
        <v>3</v>
      </c>
      <c r="J163" s="66">
        <f t="shared" si="51"/>
        <v>1</v>
      </c>
      <c r="K163" s="74">
        <v>1.0</v>
      </c>
      <c r="L163" s="66">
        <v>0.0</v>
      </c>
      <c r="M163" s="66">
        <v>0.0</v>
      </c>
      <c r="N163" s="66">
        <v>0.0</v>
      </c>
      <c r="O163" s="66">
        <v>0.0</v>
      </c>
      <c r="P163" s="66">
        <v>0.0</v>
      </c>
      <c r="Q163" s="66">
        <v>0.0</v>
      </c>
      <c r="R163" s="66">
        <v>0.0</v>
      </c>
      <c r="S163" s="66">
        <v>0.0</v>
      </c>
      <c r="T163" s="66">
        <v>0.0</v>
      </c>
      <c r="U163" s="66">
        <v>0.0</v>
      </c>
      <c r="V163" s="66">
        <v>2.0</v>
      </c>
      <c r="W163" s="66">
        <v>1.0</v>
      </c>
      <c r="X163" s="75">
        <v>1.0</v>
      </c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ht="15.75" customHeight="1">
      <c r="A164" s="68">
        <v>13.0</v>
      </c>
      <c r="B164" s="69">
        <v>45816.0</v>
      </c>
      <c r="C164" s="87">
        <v>0.7083333333333334</v>
      </c>
      <c r="D164" s="72" t="s">
        <v>54</v>
      </c>
      <c r="E164" s="72" t="s">
        <v>60</v>
      </c>
      <c r="F164" s="72" t="s">
        <v>36</v>
      </c>
      <c r="G164" s="66">
        <v>10.0</v>
      </c>
      <c r="H164" s="74">
        <f t="shared" si="49"/>
        <v>3</v>
      </c>
      <c r="I164" s="66">
        <f t="shared" si="50"/>
        <v>3</v>
      </c>
      <c r="J164" s="66">
        <f t="shared" si="51"/>
        <v>2</v>
      </c>
      <c r="K164" s="74">
        <v>2.0</v>
      </c>
      <c r="L164" s="66">
        <v>0.0</v>
      </c>
      <c r="M164" s="66">
        <v>0.0</v>
      </c>
      <c r="N164" s="66">
        <v>0.0</v>
      </c>
      <c r="O164" s="66">
        <v>0.0</v>
      </c>
      <c r="P164" s="66">
        <v>0.0</v>
      </c>
      <c r="Q164" s="66">
        <v>0.0</v>
      </c>
      <c r="R164" s="66">
        <v>0.0</v>
      </c>
      <c r="S164" s="66">
        <v>0.0</v>
      </c>
      <c r="T164" s="66">
        <v>0.0</v>
      </c>
      <c r="U164" s="66">
        <v>0.0</v>
      </c>
      <c r="V164" s="66">
        <v>1.0</v>
      </c>
      <c r="W164" s="66">
        <v>1.0</v>
      </c>
      <c r="X164" s="75">
        <v>0.0</v>
      </c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ht="15.75" customHeight="1">
      <c r="A165" s="68">
        <v>13.0</v>
      </c>
      <c r="B165" s="69">
        <v>45816.0</v>
      </c>
      <c r="C165" s="87">
        <v>0.7083333333333334</v>
      </c>
      <c r="D165" s="72" t="s">
        <v>54</v>
      </c>
      <c r="E165" s="72" t="s">
        <v>60</v>
      </c>
      <c r="F165" s="72" t="s">
        <v>34</v>
      </c>
      <c r="G165" s="66">
        <v>11.0</v>
      </c>
      <c r="H165" s="74">
        <f t="shared" si="49"/>
        <v>3</v>
      </c>
      <c r="I165" s="66">
        <f t="shared" si="50"/>
        <v>3</v>
      </c>
      <c r="J165" s="66">
        <f t="shared" si="51"/>
        <v>2</v>
      </c>
      <c r="K165" s="74">
        <v>2.0</v>
      </c>
      <c r="L165" s="66">
        <v>0.0</v>
      </c>
      <c r="M165" s="66">
        <v>0.0</v>
      </c>
      <c r="N165" s="66">
        <v>0.0</v>
      </c>
      <c r="O165" s="66">
        <v>0.0</v>
      </c>
      <c r="P165" s="66">
        <v>0.0</v>
      </c>
      <c r="Q165" s="66">
        <v>0.0</v>
      </c>
      <c r="R165" s="66">
        <v>0.0</v>
      </c>
      <c r="S165" s="66">
        <v>0.0</v>
      </c>
      <c r="T165" s="66">
        <v>0.0</v>
      </c>
      <c r="U165" s="66">
        <v>0.0</v>
      </c>
      <c r="V165" s="66">
        <v>1.0</v>
      </c>
      <c r="W165" s="66">
        <v>2.0</v>
      </c>
      <c r="X165" s="75">
        <v>0.0</v>
      </c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ht="15.75" customHeight="1">
      <c r="A166" s="68">
        <v>13.0</v>
      </c>
      <c r="B166" s="69">
        <v>45816.0</v>
      </c>
      <c r="C166" s="87">
        <v>0.7083333333333334</v>
      </c>
      <c r="D166" s="72" t="s">
        <v>54</v>
      </c>
      <c r="E166" s="72" t="s">
        <v>60</v>
      </c>
      <c r="F166" s="72" t="s">
        <v>38</v>
      </c>
      <c r="G166" s="66">
        <v>12.0</v>
      </c>
      <c r="H166" s="74">
        <f t="shared" si="49"/>
        <v>3</v>
      </c>
      <c r="I166" s="66">
        <f t="shared" si="50"/>
        <v>3</v>
      </c>
      <c r="J166" s="66">
        <f t="shared" si="51"/>
        <v>1</v>
      </c>
      <c r="K166" s="74">
        <v>1.0</v>
      </c>
      <c r="L166" s="66">
        <v>0.0</v>
      </c>
      <c r="M166" s="66">
        <v>0.0</v>
      </c>
      <c r="N166" s="66">
        <v>0.0</v>
      </c>
      <c r="O166" s="66">
        <v>0.0</v>
      </c>
      <c r="P166" s="66">
        <v>0.0</v>
      </c>
      <c r="Q166" s="66">
        <v>0.0</v>
      </c>
      <c r="R166" s="66">
        <v>0.0</v>
      </c>
      <c r="S166" s="66">
        <v>0.0</v>
      </c>
      <c r="T166" s="66">
        <v>0.0</v>
      </c>
      <c r="U166" s="66">
        <v>1.0</v>
      </c>
      <c r="V166" s="66">
        <v>1.0</v>
      </c>
      <c r="W166" s="66">
        <v>1.0</v>
      </c>
      <c r="X166" s="75">
        <v>2.0</v>
      </c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ht="15.75" customHeight="1">
      <c r="A167" s="93">
        <v>13.0</v>
      </c>
      <c r="B167" s="94">
        <v>45816.0</v>
      </c>
      <c r="C167" s="95">
        <v>0.7083333333333334</v>
      </c>
      <c r="D167" s="96" t="s">
        <v>54</v>
      </c>
      <c r="E167" s="96" t="s">
        <v>60</v>
      </c>
      <c r="F167" s="96" t="s">
        <v>44</v>
      </c>
      <c r="G167" s="97"/>
      <c r="H167" s="89">
        <f t="shared" ref="H167:X167" si="52">SUBTOTAL(109,H155:H166)</f>
        <v>44</v>
      </c>
      <c r="I167" s="90">
        <f t="shared" si="52"/>
        <v>44</v>
      </c>
      <c r="J167" s="90">
        <f t="shared" si="52"/>
        <v>23</v>
      </c>
      <c r="K167" s="89">
        <f t="shared" si="52"/>
        <v>19</v>
      </c>
      <c r="L167" s="90">
        <f t="shared" si="52"/>
        <v>2</v>
      </c>
      <c r="M167" s="90">
        <f t="shared" si="52"/>
        <v>0</v>
      </c>
      <c r="N167" s="90">
        <f t="shared" si="52"/>
        <v>0</v>
      </c>
      <c r="O167" s="90">
        <f t="shared" si="52"/>
        <v>2</v>
      </c>
      <c r="P167" s="90">
        <f t="shared" si="52"/>
        <v>4</v>
      </c>
      <c r="Q167" s="90">
        <f t="shared" si="52"/>
        <v>0</v>
      </c>
      <c r="R167" s="90">
        <f t="shared" si="52"/>
        <v>0</v>
      </c>
      <c r="S167" s="90">
        <f t="shared" si="52"/>
        <v>0</v>
      </c>
      <c r="T167" s="90">
        <f t="shared" si="52"/>
        <v>1</v>
      </c>
      <c r="U167" s="90">
        <f t="shared" si="52"/>
        <v>3</v>
      </c>
      <c r="V167" s="90">
        <f t="shared" si="52"/>
        <v>13</v>
      </c>
      <c r="W167" s="90">
        <f t="shared" si="52"/>
        <v>15</v>
      </c>
      <c r="X167" s="91">
        <f t="shared" si="52"/>
        <v>15</v>
      </c>
    </row>
    <row r="168" ht="15.75" customHeight="1">
      <c r="A168" s="68">
        <v>14.0</v>
      </c>
      <c r="B168" s="69">
        <v>45816.0</v>
      </c>
      <c r="C168" s="87">
        <v>0.7708333333333334</v>
      </c>
      <c r="D168" s="72" t="s">
        <v>58</v>
      </c>
      <c r="E168" s="72" t="s">
        <v>61</v>
      </c>
      <c r="F168" s="72" t="s">
        <v>26</v>
      </c>
      <c r="G168" s="66">
        <v>1.0</v>
      </c>
      <c r="H168" s="74">
        <f t="shared" ref="H168:H179" si="53">SUM(K168:V168)</f>
        <v>3</v>
      </c>
      <c r="I168" s="66">
        <f t="shared" ref="I168:I179" si="54">SUM(K168:P168,S168:V168)</f>
        <v>2</v>
      </c>
      <c r="J168" s="66">
        <f t="shared" ref="J168:J179" si="55">SUM(K168:O168)</f>
        <v>2</v>
      </c>
      <c r="K168" s="74">
        <v>0.0</v>
      </c>
      <c r="L168" s="66">
        <v>2.0</v>
      </c>
      <c r="M168" s="66">
        <v>0.0</v>
      </c>
      <c r="N168" s="66">
        <v>0.0</v>
      </c>
      <c r="O168" s="66">
        <v>0.0</v>
      </c>
      <c r="P168" s="66">
        <v>0.0</v>
      </c>
      <c r="Q168" s="66">
        <v>1.0</v>
      </c>
      <c r="R168" s="66">
        <v>0.0</v>
      </c>
      <c r="S168" s="66">
        <v>0.0</v>
      </c>
      <c r="T168" s="66">
        <v>0.0</v>
      </c>
      <c r="U168" s="66">
        <v>0.0</v>
      </c>
      <c r="V168" s="66">
        <v>0.0</v>
      </c>
      <c r="W168" s="66">
        <v>2.0</v>
      </c>
      <c r="X168" s="75">
        <v>1.0</v>
      </c>
    </row>
    <row r="169" ht="15.75" customHeight="1">
      <c r="A169" s="68">
        <v>14.0</v>
      </c>
      <c r="B169" s="69">
        <v>45816.0</v>
      </c>
      <c r="C169" s="87">
        <v>0.7708333333333334</v>
      </c>
      <c r="D169" s="72" t="s">
        <v>58</v>
      </c>
      <c r="E169" s="72" t="s">
        <v>61</v>
      </c>
      <c r="F169" s="72" t="s">
        <v>28</v>
      </c>
      <c r="G169" s="66">
        <v>2.0</v>
      </c>
      <c r="H169" s="74">
        <f t="shared" si="53"/>
        <v>3</v>
      </c>
      <c r="I169" s="66">
        <f t="shared" si="54"/>
        <v>3</v>
      </c>
      <c r="J169" s="66">
        <f t="shared" si="55"/>
        <v>2</v>
      </c>
      <c r="K169" s="74">
        <v>2.0</v>
      </c>
      <c r="L169" s="66">
        <v>0.0</v>
      </c>
      <c r="M169" s="66">
        <v>0.0</v>
      </c>
      <c r="N169" s="66">
        <v>0.0</v>
      </c>
      <c r="O169" s="66">
        <v>0.0</v>
      </c>
      <c r="P169" s="66">
        <v>1.0</v>
      </c>
      <c r="Q169" s="66">
        <v>0.0</v>
      </c>
      <c r="R169" s="66">
        <v>0.0</v>
      </c>
      <c r="S169" s="66">
        <v>0.0</v>
      </c>
      <c r="T169" s="66">
        <v>0.0</v>
      </c>
      <c r="U169" s="66">
        <v>0.0</v>
      </c>
      <c r="V169" s="66">
        <v>0.0</v>
      </c>
      <c r="W169" s="66">
        <v>1.0</v>
      </c>
      <c r="X169" s="75">
        <v>0.0</v>
      </c>
    </row>
    <row r="170" ht="15.75" customHeight="1">
      <c r="A170" s="68">
        <v>14.0</v>
      </c>
      <c r="B170" s="69">
        <v>45816.0</v>
      </c>
      <c r="C170" s="87">
        <v>0.7708333333333334</v>
      </c>
      <c r="D170" s="72" t="s">
        <v>58</v>
      </c>
      <c r="E170" s="72" t="s">
        <v>61</v>
      </c>
      <c r="F170" s="72" t="s">
        <v>32</v>
      </c>
      <c r="G170" s="66">
        <v>3.0</v>
      </c>
      <c r="H170" s="74">
        <f t="shared" si="53"/>
        <v>3</v>
      </c>
      <c r="I170" s="66">
        <f t="shared" si="54"/>
        <v>3</v>
      </c>
      <c r="J170" s="66">
        <f t="shared" si="55"/>
        <v>2</v>
      </c>
      <c r="K170" s="74">
        <v>2.0</v>
      </c>
      <c r="L170" s="66">
        <v>0.0</v>
      </c>
      <c r="M170" s="66">
        <v>0.0</v>
      </c>
      <c r="N170" s="66">
        <v>0.0</v>
      </c>
      <c r="O170" s="66">
        <v>0.0</v>
      </c>
      <c r="P170" s="66">
        <v>0.0</v>
      </c>
      <c r="Q170" s="66">
        <v>0.0</v>
      </c>
      <c r="R170" s="66">
        <v>0.0</v>
      </c>
      <c r="S170" s="66">
        <v>0.0</v>
      </c>
      <c r="T170" s="66">
        <v>0.0</v>
      </c>
      <c r="U170" s="66">
        <v>0.0</v>
      </c>
      <c r="V170" s="66">
        <v>1.0</v>
      </c>
      <c r="W170" s="66">
        <v>1.0</v>
      </c>
      <c r="X170" s="75">
        <v>2.0</v>
      </c>
    </row>
    <row r="171" ht="15.75" customHeight="1">
      <c r="A171" s="68">
        <v>14.0</v>
      </c>
      <c r="B171" s="69">
        <v>45816.0</v>
      </c>
      <c r="C171" s="87">
        <v>0.7708333333333334</v>
      </c>
      <c r="D171" s="72" t="s">
        <v>58</v>
      </c>
      <c r="E171" s="72" t="s">
        <v>61</v>
      </c>
      <c r="F171" s="72" t="s">
        <v>30</v>
      </c>
      <c r="G171" s="66">
        <v>4.0</v>
      </c>
      <c r="H171" s="74">
        <f t="shared" si="53"/>
        <v>3</v>
      </c>
      <c r="I171" s="66">
        <f t="shared" si="54"/>
        <v>3</v>
      </c>
      <c r="J171" s="66">
        <f t="shared" si="55"/>
        <v>2</v>
      </c>
      <c r="K171" s="74">
        <v>1.0</v>
      </c>
      <c r="L171" s="66">
        <v>1.0</v>
      </c>
      <c r="M171" s="66">
        <v>0.0</v>
      </c>
      <c r="N171" s="66">
        <v>0.0</v>
      </c>
      <c r="O171" s="66">
        <v>0.0</v>
      </c>
      <c r="P171" s="66">
        <v>0.0</v>
      </c>
      <c r="Q171" s="66">
        <v>0.0</v>
      </c>
      <c r="R171" s="66">
        <v>0.0</v>
      </c>
      <c r="S171" s="66">
        <v>0.0</v>
      </c>
      <c r="T171" s="66">
        <v>0.0</v>
      </c>
      <c r="U171" s="66">
        <v>0.0</v>
      </c>
      <c r="V171" s="66">
        <v>1.0</v>
      </c>
      <c r="W171" s="66">
        <v>1.0</v>
      </c>
      <c r="X171" s="75">
        <v>1.0</v>
      </c>
    </row>
    <row r="172" ht="15.75" customHeight="1">
      <c r="A172" s="68">
        <v>14.0</v>
      </c>
      <c r="B172" s="69">
        <v>45816.0</v>
      </c>
      <c r="C172" s="87">
        <v>0.7708333333333334</v>
      </c>
      <c r="D172" s="72" t="s">
        <v>58</v>
      </c>
      <c r="E172" s="72" t="s">
        <v>61</v>
      </c>
      <c r="F172" s="72" t="s">
        <v>33</v>
      </c>
      <c r="G172" s="66">
        <v>5.0</v>
      </c>
      <c r="H172" s="74">
        <f t="shared" si="53"/>
        <v>3</v>
      </c>
      <c r="I172" s="66">
        <f t="shared" si="54"/>
        <v>2</v>
      </c>
      <c r="J172" s="66">
        <f t="shared" si="55"/>
        <v>0</v>
      </c>
      <c r="K172" s="74">
        <v>0.0</v>
      </c>
      <c r="L172" s="66">
        <v>0.0</v>
      </c>
      <c r="M172" s="66">
        <v>0.0</v>
      </c>
      <c r="N172" s="66">
        <v>0.0</v>
      </c>
      <c r="O172" s="66">
        <v>0.0</v>
      </c>
      <c r="P172" s="66">
        <v>0.0</v>
      </c>
      <c r="Q172" s="66">
        <v>0.0</v>
      </c>
      <c r="R172" s="66">
        <v>1.0</v>
      </c>
      <c r="S172" s="66">
        <v>0.0</v>
      </c>
      <c r="T172" s="66">
        <v>0.0</v>
      </c>
      <c r="U172" s="66">
        <v>0.0</v>
      </c>
      <c r="V172" s="66">
        <v>2.0</v>
      </c>
      <c r="W172" s="66">
        <v>0.0</v>
      </c>
      <c r="X172" s="75">
        <v>1.0</v>
      </c>
    </row>
    <row r="173" ht="15.75" customHeight="1">
      <c r="A173" s="68">
        <v>14.0</v>
      </c>
      <c r="B173" s="69">
        <v>45816.0</v>
      </c>
      <c r="C173" s="87">
        <v>0.7708333333333334</v>
      </c>
      <c r="D173" s="72" t="s">
        <v>58</v>
      </c>
      <c r="E173" s="72" t="s">
        <v>61</v>
      </c>
      <c r="F173" s="72" t="s">
        <v>27</v>
      </c>
      <c r="G173" s="66">
        <v>6.0</v>
      </c>
      <c r="H173" s="74">
        <f t="shared" si="53"/>
        <v>3</v>
      </c>
      <c r="I173" s="66">
        <f t="shared" si="54"/>
        <v>3</v>
      </c>
      <c r="J173" s="66">
        <f t="shared" si="55"/>
        <v>1</v>
      </c>
      <c r="K173" s="74">
        <v>1.0</v>
      </c>
      <c r="L173" s="66">
        <v>0.0</v>
      </c>
      <c r="M173" s="66">
        <v>0.0</v>
      </c>
      <c r="N173" s="66">
        <v>0.0</v>
      </c>
      <c r="O173" s="66">
        <v>0.0</v>
      </c>
      <c r="P173" s="66">
        <v>0.0</v>
      </c>
      <c r="Q173" s="66">
        <v>0.0</v>
      </c>
      <c r="R173" s="66">
        <v>0.0</v>
      </c>
      <c r="S173" s="66">
        <v>0.0</v>
      </c>
      <c r="T173" s="66">
        <v>0.0</v>
      </c>
      <c r="U173" s="66">
        <v>1.0</v>
      </c>
      <c r="V173" s="66">
        <v>1.0</v>
      </c>
      <c r="W173" s="66">
        <v>1.0</v>
      </c>
      <c r="X173" s="75">
        <v>1.0</v>
      </c>
    </row>
    <row r="174" ht="15.75" customHeight="1">
      <c r="A174" s="68">
        <v>14.0</v>
      </c>
      <c r="B174" s="69">
        <v>45816.0</v>
      </c>
      <c r="C174" s="87">
        <v>0.7708333333333334</v>
      </c>
      <c r="D174" s="72" t="s">
        <v>58</v>
      </c>
      <c r="E174" s="72" t="s">
        <v>61</v>
      </c>
      <c r="F174" s="72" t="s">
        <v>35</v>
      </c>
      <c r="G174" s="66">
        <v>7.0</v>
      </c>
      <c r="H174" s="74">
        <f t="shared" si="53"/>
        <v>3</v>
      </c>
      <c r="I174" s="66">
        <f t="shared" si="54"/>
        <v>3</v>
      </c>
      <c r="J174" s="66">
        <f t="shared" si="55"/>
        <v>1</v>
      </c>
      <c r="K174" s="74">
        <v>0.0</v>
      </c>
      <c r="L174" s="66">
        <v>1.0</v>
      </c>
      <c r="M174" s="66">
        <v>0.0</v>
      </c>
      <c r="N174" s="66">
        <v>0.0</v>
      </c>
      <c r="O174" s="66">
        <v>0.0</v>
      </c>
      <c r="P174" s="66">
        <v>0.0</v>
      </c>
      <c r="Q174" s="66">
        <v>0.0</v>
      </c>
      <c r="R174" s="66">
        <v>0.0</v>
      </c>
      <c r="S174" s="66">
        <v>0.0</v>
      </c>
      <c r="T174" s="66">
        <v>0.0</v>
      </c>
      <c r="U174" s="66">
        <v>0.0</v>
      </c>
      <c r="V174" s="66">
        <v>2.0</v>
      </c>
      <c r="W174" s="66">
        <v>1.0</v>
      </c>
      <c r="X174" s="75">
        <v>1.0</v>
      </c>
    </row>
    <row r="175" ht="15.75" customHeight="1">
      <c r="A175" s="68">
        <v>14.0</v>
      </c>
      <c r="B175" s="69">
        <v>45816.0</v>
      </c>
      <c r="C175" s="87">
        <v>0.7708333333333334</v>
      </c>
      <c r="D175" s="72" t="s">
        <v>58</v>
      </c>
      <c r="E175" s="72" t="s">
        <v>61</v>
      </c>
      <c r="F175" s="72" t="s">
        <v>37</v>
      </c>
      <c r="G175" s="66">
        <v>8.0</v>
      </c>
      <c r="H175" s="74">
        <f t="shared" si="53"/>
        <v>3</v>
      </c>
      <c r="I175" s="66">
        <f t="shared" si="54"/>
        <v>3</v>
      </c>
      <c r="J175" s="66">
        <f t="shared" si="55"/>
        <v>1</v>
      </c>
      <c r="K175" s="74">
        <v>1.0</v>
      </c>
      <c r="L175" s="66">
        <v>0.0</v>
      </c>
      <c r="M175" s="66">
        <v>0.0</v>
      </c>
      <c r="N175" s="66">
        <v>0.0</v>
      </c>
      <c r="O175" s="66">
        <v>0.0</v>
      </c>
      <c r="P175" s="66">
        <v>0.0</v>
      </c>
      <c r="Q175" s="66">
        <v>0.0</v>
      </c>
      <c r="R175" s="66">
        <v>0.0</v>
      </c>
      <c r="S175" s="66">
        <v>0.0</v>
      </c>
      <c r="T175" s="66">
        <v>0.0</v>
      </c>
      <c r="U175" s="66">
        <v>0.0</v>
      </c>
      <c r="V175" s="66">
        <v>2.0</v>
      </c>
      <c r="W175" s="66">
        <v>0.0</v>
      </c>
      <c r="X175" s="75">
        <v>1.0</v>
      </c>
    </row>
    <row r="176" ht="15.75" customHeight="1">
      <c r="A176" s="68">
        <v>14.0</v>
      </c>
      <c r="B176" s="69">
        <v>45816.0</v>
      </c>
      <c r="C176" s="87">
        <v>0.7708333333333334</v>
      </c>
      <c r="D176" s="72" t="s">
        <v>58</v>
      </c>
      <c r="E176" s="72" t="s">
        <v>61</v>
      </c>
      <c r="F176" s="72" t="s">
        <v>29</v>
      </c>
      <c r="G176" s="66">
        <v>9.0</v>
      </c>
      <c r="H176" s="74">
        <f t="shared" si="53"/>
        <v>2</v>
      </c>
      <c r="I176" s="66">
        <f t="shared" si="54"/>
        <v>2</v>
      </c>
      <c r="J176" s="66">
        <f t="shared" si="55"/>
        <v>1</v>
      </c>
      <c r="K176" s="74">
        <v>1.0</v>
      </c>
      <c r="L176" s="66">
        <v>0.0</v>
      </c>
      <c r="M176" s="66">
        <v>0.0</v>
      </c>
      <c r="N176" s="66">
        <v>0.0</v>
      </c>
      <c r="O176" s="66">
        <v>0.0</v>
      </c>
      <c r="P176" s="66">
        <v>0.0</v>
      </c>
      <c r="Q176" s="66">
        <v>0.0</v>
      </c>
      <c r="R176" s="66">
        <v>0.0</v>
      </c>
      <c r="S176" s="66">
        <v>0.0</v>
      </c>
      <c r="T176" s="66">
        <v>0.0</v>
      </c>
      <c r="U176" s="66">
        <v>0.0</v>
      </c>
      <c r="V176" s="66">
        <v>1.0</v>
      </c>
      <c r="W176" s="66">
        <v>0.0</v>
      </c>
      <c r="X176" s="75">
        <v>0.0</v>
      </c>
    </row>
    <row r="177" ht="15.75" customHeight="1">
      <c r="A177" s="68">
        <v>14.0</v>
      </c>
      <c r="B177" s="69">
        <v>45816.0</v>
      </c>
      <c r="C177" s="87">
        <v>0.7708333333333334</v>
      </c>
      <c r="D177" s="72" t="s">
        <v>58</v>
      </c>
      <c r="E177" s="72" t="s">
        <v>61</v>
      </c>
      <c r="F177" s="72" t="s">
        <v>36</v>
      </c>
      <c r="G177" s="66">
        <v>10.0</v>
      </c>
      <c r="H177" s="74">
        <f t="shared" si="53"/>
        <v>2</v>
      </c>
      <c r="I177" s="66">
        <f t="shared" si="54"/>
        <v>2</v>
      </c>
      <c r="J177" s="66">
        <f t="shared" si="55"/>
        <v>0</v>
      </c>
      <c r="K177" s="74">
        <v>0.0</v>
      </c>
      <c r="L177" s="66">
        <v>0.0</v>
      </c>
      <c r="M177" s="66">
        <v>0.0</v>
      </c>
      <c r="N177" s="66">
        <v>0.0</v>
      </c>
      <c r="O177" s="66">
        <v>0.0</v>
      </c>
      <c r="P177" s="66">
        <v>1.0</v>
      </c>
      <c r="Q177" s="66">
        <v>0.0</v>
      </c>
      <c r="R177" s="66">
        <v>0.0</v>
      </c>
      <c r="S177" s="66">
        <v>0.0</v>
      </c>
      <c r="T177" s="66">
        <v>0.0</v>
      </c>
      <c r="U177" s="66">
        <v>0.0</v>
      </c>
      <c r="V177" s="66">
        <v>1.0</v>
      </c>
      <c r="W177" s="66">
        <v>0.0</v>
      </c>
      <c r="X177" s="75">
        <v>0.0</v>
      </c>
    </row>
    <row r="178" ht="15.75" customHeight="1">
      <c r="A178" s="68">
        <v>14.0</v>
      </c>
      <c r="B178" s="69">
        <v>45816.0</v>
      </c>
      <c r="C178" s="87">
        <v>0.7708333333333334</v>
      </c>
      <c r="D178" s="72" t="s">
        <v>58</v>
      </c>
      <c r="E178" s="72" t="s">
        <v>61</v>
      </c>
      <c r="F178" s="72" t="s">
        <v>34</v>
      </c>
      <c r="G178" s="66">
        <v>11.0</v>
      </c>
      <c r="H178" s="74">
        <f t="shared" si="53"/>
        <v>1</v>
      </c>
      <c r="I178" s="66">
        <f t="shared" si="54"/>
        <v>1</v>
      </c>
      <c r="J178" s="66">
        <f t="shared" si="55"/>
        <v>1</v>
      </c>
      <c r="K178" s="74">
        <v>1.0</v>
      </c>
      <c r="L178" s="66">
        <v>0.0</v>
      </c>
      <c r="M178" s="66">
        <v>0.0</v>
      </c>
      <c r="N178" s="66">
        <v>0.0</v>
      </c>
      <c r="O178" s="66">
        <v>0.0</v>
      </c>
      <c r="P178" s="66">
        <v>0.0</v>
      </c>
      <c r="Q178" s="66">
        <v>0.0</v>
      </c>
      <c r="R178" s="66">
        <v>0.0</v>
      </c>
      <c r="S178" s="66">
        <v>0.0</v>
      </c>
      <c r="T178" s="66">
        <v>0.0</v>
      </c>
      <c r="U178" s="66">
        <v>0.0</v>
      </c>
      <c r="V178" s="66">
        <v>0.0</v>
      </c>
      <c r="W178" s="66">
        <v>1.0</v>
      </c>
      <c r="X178" s="75">
        <v>0.0</v>
      </c>
    </row>
    <row r="179" ht="15.75" customHeight="1">
      <c r="A179" s="68">
        <v>14.0</v>
      </c>
      <c r="B179" s="69">
        <v>45816.0</v>
      </c>
      <c r="C179" s="87">
        <v>0.7708333333333334</v>
      </c>
      <c r="D179" s="72" t="s">
        <v>58</v>
      </c>
      <c r="E179" s="72" t="s">
        <v>61</v>
      </c>
      <c r="F179" s="72" t="s">
        <v>38</v>
      </c>
      <c r="G179" s="66">
        <v>12.0</v>
      </c>
      <c r="H179" s="74">
        <f t="shared" si="53"/>
        <v>2</v>
      </c>
      <c r="I179" s="66">
        <f t="shared" si="54"/>
        <v>2</v>
      </c>
      <c r="J179" s="66">
        <f t="shared" si="55"/>
        <v>0</v>
      </c>
      <c r="K179" s="74">
        <v>0.0</v>
      </c>
      <c r="L179" s="66">
        <v>0.0</v>
      </c>
      <c r="M179" s="66">
        <v>0.0</v>
      </c>
      <c r="N179" s="66">
        <v>0.0</v>
      </c>
      <c r="O179" s="66">
        <v>0.0</v>
      </c>
      <c r="P179" s="66">
        <v>1.0</v>
      </c>
      <c r="Q179" s="66">
        <v>0.0</v>
      </c>
      <c r="R179" s="66">
        <v>0.0</v>
      </c>
      <c r="S179" s="66">
        <v>0.0</v>
      </c>
      <c r="T179" s="66">
        <v>0.0</v>
      </c>
      <c r="U179" s="66">
        <v>0.0</v>
      </c>
      <c r="V179" s="66">
        <v>1.0</v>
      </c>
      <c r="W179" s="66">
        <v>1.0</v>
      </c>
      <c r="X179" s="75">
        <v>1.0</v>
      </c>
    </row>
    <row r="180" ht="15.75" customHeight="1">
      <c r="A180" s="93">
        <v>14.0</v>
      </c>
      <c r="B180" s="94">
        <v>45816.0</v>
      </c>
      <c r="C180" s="95">
        <v>0.7708333333333334</v>
      </c>
      <c r="D180" s="96" t="s">
        <v>58</v>
      </c>
      <c r="E180" s="96" t="s">
        <v>61</v>
      </c>
      <c r="F180" s="96" t="s">
        <v>44</v>
      </c>
      <c r="G180" s="97"/>
      <c r="H180" s="89">
        <f t="shared" ref="H180:X180" si="56">SUBTOTAL(109,H168:H179)</f>
        <v>31</v>
      </c>
      <c r="I180" s="90">
        <f t="shared" si="56"/>
        <v>29</v>
      </c>
      <c r="J180" s="90">
        <f t="shared" si="56"/>
        <v>13</v>
      </c>
      <c r="K180" s="89">
        <f t="shared" si="56"/>
        <v>9</v>
      </c>
      <c r="L180" s="90">
        <f t="shared" si="56"/>
        <v>4</v>
      </c>
      <c r="M180" s="90">
        <f t="shared" si="56"/>
        <v>0</v>
      </c>
      <c r="N180" s="90">
        <f t="shared" si="56"/>
        <v>0</v>
      </c>
      <c r="O180" s="90">
        <f t="shared" si="56"/>
        <v>0</v>
      </c>
      <c r="P180" s="90">
        <f t="shared" si="56"/>
        <v>3</v>
      </c>
      <c r="Q180" s="90">
        <f t="shared" si="56"/>
        <v>1</v>
      </c>
      <c r="R180" s="90">
        <f t="shared" si="56"/>
        <v>1</v>
      </c>
      <c r="S180" s="90">
        <f t="shared" si="56"/>
        <v>0</v>
      </c>
      <c r="T180" s="90">
        <f t="shared" si="56"/>
        <v>0</v>
      </c>
      <c r="U180" s="90">
        <f t="shared" si="56"/>
        <v>1</v>
      </c>
      <c r="V180" s="90">
        <f t="shared" si="56"/>
        <v>12</v>
      </c>
      <c r="W180" s="90">
        <f t="shared" si="56"/>
        <v>9</v>
      </c>
      <c r="X180" s="91">
        <f t="shared" si="56"/>
        <v>9</v>
      </c>
    </row>
    <row r="181" ht="15.75" customHeight="1">
      <c r="A181" s="68">
        <v>15.0</v>
      </c>
      <c r="B181" s="69">
        <v>45818.0</v>
      </c>
      <c r="C181" s="87">
        <v>0.8958333333333334</v>
      </c>
      <c r="D181" s="72" t="s">
        <v>58</v>
      </c>
      <c r="E181" s="72" t="s">
        <v>59</v>
      </c>
      <c r="F181" s="72" t="s">
        <v>26</v>
      </c>
      <c r="G181" s="66">
        <v>1.0</v>
      </c>
      <c r="H181" s="74">
        <f t="shared" ref="H181:H190" si="57">SUM(K181:V181)</f>
        <v>5</v>
      </c>
      <c r="I181" s="66">
        <f t="shared" ref="I181:I190" si="58">SUM(K181:P181,S181:V181)</f>
        <v>4</v>
      </c>
      <c r="J181" s="66">
        <f t="shared" ref="J181:J190" si="59">SUM(K181:O181)</f>
        <v>4</v>
      </c>
      <c r="K181" s="74">
        <v>2.0</v>
      </c>
      <c r="L181" s="66">
        <v>1.0</v>
      </c>
      <c r="M181" s="66">
        <v>1.0</v>
      </c>
      <c r="N181" s="66">
        <v>0.0</v>
      </c>
      <c r="O181" s="66">
        <v>0.0</v>
      </c>
      <c r="P181" s="66">
        <v>0.0</v>
      </c>
      <c r="Q181" s="66">
        <v>0.0</v>
      </c>
      <c r="R181" s="66">
        <v>1.0</v>
      </c>
      <c r="S181" s="66">
        <v>0.0</v>
      </c>
      <c r="T181" s="66">
        <v>0.0</v>
      </c>
      <c r="U181" s="66">
        <v>0.0</v>
      </c>
      <c r="V181" s="66">
        <v>0.0</v>
      </c>
      <c r="W181" s="66">
        <v>3.0</v>
      </c>
      <c r="X181" s="75">
        <v>3.0</v>
      </c>
    </row>
    <row r="182" ht="15.75" customHeight="1">
      <c r="A182" s="68">
        <v>15.0</v>
      </c>
      <c r="B182" s="69">
        <v>45818.0</v>
      </c>
      <c r="C182" s="87">
        <v>0.8958333333333334</v>
      </c>
      <c r="D182" s="72" t="s">
        <v>58</v>
      </c>
      <c r="E182" s="72" t="s">
        <v>59</v>
      </c>
      <c r="F182" s="72" t="s">
        <v>32</v>
      </c>
      <c r="G182" s="66">
        <v>2.0</v>
      </c>
      <c r="H182" s="74">
        <f t="shared" si="57"/>
        <v>5</v>
      </c>
      <c r="I182" s="66">
        <f t="shared" si="58"/>
        <v>5</v>
      </c>
      <c r="J182" s="66">
        <f t="shared" si="59"/>
        <v>4</v>
      </c>
      <c r="K182" s="74">
        <v>2.0</v>
      </c>
      <c r="L182" s="66">
        <v>1.0</v>
      </c>
      <c r="M182" s="66">
        <v>0.0</v>
      </c>
      <c r="N182" s="66">
        <v>0.0</v>
      </c>
      <c r="O182" s="66">
        <v>1.0</v>
      </c>
      <c r="P182" s="66">
        <v>0.0</v>
      </c>
      <c r="Q182" s="66">
        <v>0.0</v>
      </c>
      <c r="R182" s="66">
        <v>0.0</v>
      </c>
      <c r="S182" s="66">
        <v>0.0</v>
      </c>
      <c r="T182" s="66">
        <v>0.0</v>
      </c>
      <c r="U182" s="66">
        <v>0.0</v>
      </c>
      <c r="V182" s="66">
        <v>1.0</v>
      </c>
      <c r="W182" s="66">
        <v>3.0</v>
      </c>
      <c r="X182" s="75">
        <v>4.0</v>
      </c>
    </row>
    <row r="183" ht="15.75" customHeight="1">
      <c r="A183" s="68">
        <v>15.0</v>
      </c>
      <c r="B183" s="69">
        <v>45818.0</v>
      </c>
      <c r="C183" s="87">
        <v>0.8958333333333334</v>
      </c>
      <c r="D183" s="72" t="s">
        <v>58</v>
      </c>
      <c r="E183" s="72" t="s">
        <v>59</v>
      </c>
      <c r="F183" s="72" t="s">
        <v>33</v>
      </c>
      <c r="G183" s="66">
        <v>3.0</v>
      </c>
      <c r="H183" s="74">
        <f t="shared" si="57"/>
        <v>5</v>
      </c>
      <c r="I183" s="66">
        <f t="shared" si="58"/>
        <v>4</v>
      </c>
      <c r="J183" s="66">
        <f t="shared" si="59"/>
        <v>2</v>
      </c>
      <c r="K183" s="74">
        <v>2.0</v>
      </c>
      <c r="L183" s="66">
        <v>0.0</v>
      </c>
      <c r="M183" s="66">
        <v>0.0</v>
      </c>
      <c r="N183" s="66">
        <v>0.0</v>
      </c>
      <c r="O183" s="66">
        <v>0.0</v>
      </c>
      <c r="P183" s="66">
        <v>0.0</v>
      </c>
      <c r="Q183" s="66">
        <v>1.0</v>
      </c>
      <c r="R183" s="66">
        <v>0.0</v>
      </c>
      <c r="S183" s="66">
        <v>0.0</v>
      </c>
      <c r="T183" s="66">
        <v>0.0</v>
      </c>
      <c r="U183" s="66">
        <v>0.0</v>
      </c>
      <c r="V183" s="66">
        <v>2.0</v>
      </c>
      <c r="W183" s="66">
        <v>3.0</v>
      </c>
      <c r="X183" s="75">
        <v>1.0</v>
      </c>
    </row>
    <row r="184" ht="15.75" customHeight="1">
      <c r="A184" s="68">
        <v>15.0</v>
      </c>
      <c r="B184" s="69">
        <v>45818.0</v>
      </c>
      <c r="C184" s="87">
        <v>0.8958333333333334</v>
      </c>
      <c r="D184" s="72" t="s">
        <v>58</v>
      </c>
      <c r="E184" s="72" t="s">
        <v>59</v>
      </c>
      <c r="F184" s="72" t="s">
        <v>30</v>
      </c>
      <c r="G184" s="66">
        <v>4.0</v>
      </c>
      <c r="H184" s="74">
        <f t="shared" si="57"/>
        <v>5</v>
      </c>
      <c r="I184" s="66">
        <f t="shared" si="58"/>
        <v>5</v>
      </c>
      <c r="J184" s="66">
        <f t="shared" si="59"/>
        <v>2</v>
      </c>
      <c r="K184" s="74">
        <v>1.0</v>
      </c>
      <c r="L184" s="66">
        <v>1.0</v>
      </c>
      <c r="M184" s="66">
        <v>0.0</v>
      </c>
      <c r="N184" s="66">
        <v>0.0</v>
      </c>
      <c r="O184" s="66">
        <v>0.0</v>
      </c>
      <c r="P184" s="66">
        <v>0.0</v>
      </c>
      <c r="Q184" s="66">
        <v>0.0</v>
      </c>
      <c r="R184" s="66">
        <v>0.0</v>
      </c>
      <c r="S184" s="66">
        <v>0.0</v>
      </c>
      <c r="T184" s="66">
        <v>0.0</v>
      </c>
      <c r="U184" s="66">
        <v>0.0</v>
      </c>
      <c r="V184" s="66">
        <v>3.0</v>
      </c>
      <c r="W184" s="66">
        <v>0.0</v>
      </c>
      <c r="X184" s="75">
        <v>1.0</v>
      </c>
    </row>
    <row r="185" ht="15.75" customHeight="1">
      <c r="A185" s="68">
        <v>15.0</v>
      </c>
      <c r="B185" s="69">
        <v>45818.0</v>
      </c>
      <c r="C185" s="87">
        <v>0.8958333333333334</v>
      </c>
      <c r="D185" s="72" t="s">
        <v>58</v>
      </c>
      <c r="E185" s="72" t="s">
        <v>59</v>
      </c>
      <c r="F185" s="72" t="s">
        <v>29</v>
      </c>
      <c r="G185" s="66">
        <v>5.0</v>
      </c>
      <c r="H185" s="74">
        <f t="shared" si="57"/>
        <v>5</v>
      </c>
      <c r="I185" s="66">
        <f t="shared" si="58"/>
        <v>3</v>
      </c>
      <c r="J185" s="66">
        <f t="shared" si="59"/>
        <v>2</v>
      </c>
      <c r="K185" s="74">
        <v>1.0</v>
      </c>
      <c r="L185" s="66">
        <v>0.0</v>
      </c>
      <c r="M185" s="66">
        <v>1.0</v>
      </c>
      <c r="N185" s="66">
        <v>0.0</v>
      </c>
      <c r="O185" s="66">
        <v>0.0</v>
      </c>
      <c r="P185" s="66">
        <v>0.0</v>
      </c>
      <c r="Q185" s="66">
        <v>1.0</v>
      </c>
      <c r="R185" s="66">
        <v>1.0</v>
      </c>
      <c r="S185" s="66">
        <v>0.0</v>
      </c>
      <c r="T185" s="66">
        <v>0.0</v>
      </c>
      <c r="U185" s="66">
        <v>0.0</v>
      </c>
      <c r="V185" s="66">
        <v>1.0</v>
      </c>
      <c r="W185" s="66">
        <v>2.0</v>
      </c>
      <c r="X185" s="75">
        <v>1.0</v>
      </c>
    </row>
    <row r="186" ht="15.75" customHeight="1">
      <c r="A186" s="68">
        <v>15.0</v>
      </c>
      <c r="B186" s="69">
        <v>45818.0</v>
      </c>
      <c r="C186" s="87">
        <v>0.8958333333333334</v>
      </c>
      <c r="D186" s="72" t="s">
        <v>58</v>
      </c>
      <c r="E186" s="72" t="s">
        <v>59</v>
      </c>
      <c r="F186" s="72" t="s">
        <v>27</v>
      </c>
      <c r="G186" s="66">
        <v>6.0</v>
      </c>
      <c r="H186" s="74">
        <f t="shared" si="57"/>
        <v>5</v>
      </c>
      <c r="I186" s="66">
        <f t="shared" si="58"/>
        <v>4</v>
      </c>
      <c r="J186" s="66">
        <f t="shared" si="59"/>
        <v>4</v>
      </c>
      <c r="K186" s="74">
        <v>3.0</v>
      </c>
      <c r="L186" s="66">
        <v>0.0</v>
      </c>
      <c r="M186" s="66">
        <v>1.0</v>
      </c>
      <c r="N186" s="66">
        <v>0.0</v>
      </c>
      <c r="O186" s="66">
        <v>0.0</v>
      </c>
      <c r="P186" s="66">
        <v>0.0</v>
      </c>
      <c r="Q186" s="66">
        <v>0.0</v>
      </c>
      <c r="R186" s="66">
        <v>1.0</v>
      </c>
      <c r="S186" s="66">
        <v>0.0</v>
      </c>
      <c r="T186" s="66">
        <v>0.0</v>
      </c>
      <c r="U186" s="66">
        <v>0.0</v>
      </c>
      <c r="V186" s="66">
        <v>0.0</v>
      </c>
      <c r="W186" s="66">
        <v>1.0</v>
      </c>
      <c r="X186" s="75">
        <v>4.0</v>
      </c>
    </row>
    <row r="187" ht="15.75" customHeight="1">
      <c r="A187" s="68">
        <v>15.0</v>
      </c>
      <c r="B187" s="69">
        <v>45818.0</v>
      </c>
      <c r="C187" s="87">
        <v>0.8958333333333334</v>
      </c>
      <c r="D187" s="72" t="s">
        <v>58</v>
      </c>
      <c r="E187" s="72" t="s">
        <v>59</v>
      </c>
      <c r="F187" s="72" t="s">
        <v>38</v>
      </c>
      <c r="G187" s="66">
        <v>7.0</v>
      </c>
      <c r="H187" s="74">
        <f t="shared" si="57"/>
        <v>4</v>
      </c>
      <c r="I187" s="66">
        <f t="shared" si="58"/>
        <v>4</v>
      </c>
      <c r="J187" s="66">
        <f t="shared" si="59"/>
        <v>2</v>
      </c>
      <c r="K187" s="74">
        <v>1.0</v>
      </c>
      <c r="L187" s="66">
        <v>1.0</v>
      </c>
      <c r="M187" s="66">
        <v>0.0</v>
      </c>
      <c r="N187" s="66">
        <v>0.0</v>
      </c>
      <c r="O187" s="66">
        <v>0.0</v>
      </c>
      <c r="P187" s="66">
        <v>1.0</v>
      </c>
      <c r="Q187" s="66">
        <v>0.0</v>
      </c>
      <c r="R187" s="66">
        <v>0.0</v>
      </c>
      <c r="S187" s="66">
        <v>0.0</v>
      </c>
      <c r="T187" s="66">
        <v>0.0</v>
      </c>
      <c r="U187" s="66">
        <v>0.0</v>
      </c>
      <c r="V187" s="66">
        <v>1.0</v>
      </c>
      <c r="W187" s="66">
        <v>0.0</v>
      </c>
      <c r="X187" s="75">
        <v>1.0</v>
      </c>
    </row>
    <row r="188" ht="15.75" customHeight="1">
      <c r="A188" s="68">
        <v>15.0</v>
      </c>
      <c r="B188" s="69">
        <v>45818.0</v>
      </c>
      <c r="C188" s="87">
        <v>0.8958333333333334</v>
      </c>
      <c r="D188" s="72" t="s">
        <v>58</v>
      </c>
      <c r="E188" s="72" t="s">
        <v>59</v>
      </c>
      <c r="F188" s="72" t="s">
        <v>36</v>
      </c>
      <c r="G188" s="66">
        <v>8.0</v>
      </c>
      <c r="H188" s="74">
        <f t="shared" si="57"/>
        <v>4</v>
      </c>
      <c r="I188" s="66">
        <f t="shared" si="58"/>
        <v>4</v>
      </c>
      <c r="J188" s="66">
        <f t="shared" si="59"/>
        <v>2</v>
      </c>
      <c r="K188" s="74">
        <v>1.0</v>
      </c>
      <c r="L188" s="66">
        <v>1.0</v>
      </c>
      <c r="M188" s="66">
        <v>0.0</v>
      </c>
      <c r="N188" s="66">
        <v>0.0</v>
      </c>
      <c r="O188" s="66">
        <v>0.0</v>
      </c>
      <c r="P188" s="66">
        <v>0.0</v>
      </c>
      <c r="Q188" s="66">
        <v>0.0</v>
      </c>
      <c r="R188" s="66">
        <v>0.0</v>
      </c>
      <c r="S188" s="66">
        <v>0.0</v>
      </c>
      <c r="T188" s="66">
        <v>0.0</v>
      </c>
      <c r="U188" s="66">
        <v>0.0</v>
      </c>
      <c r="V188" s="66">
        <v>2.0</v>
      </c>
      <c r="W188" s="66">
        <v>2.0</v>
      </c>
      <c r="X188" s="75">
        <v>0.0</v>
      </c>
    </row>
    <row r="189" ht="15.75" customHeight="1">
      <c r="A189" s="68">
        <v>15.0</v>
      </c>
      <c r="B189" s="69">
        <v>45818.0</v>
      </c>
      <c r="C189" s="87">
        <v>0.8958333333333334</v>
      </c>
      <c r="D189" s="72" t="s">
        <v>58</v>
      </c>
      <c r="E189" s="72" t="s">
        <v>59</v>
      </c>
      <c r="F189" s="72" t="s">
        <v>35</v>
      </c>
      <c r="G189" s="66">
        <v>9.0</v>
      </c>
      <c r="H189" s="74">
        <f t="shared" si="57"/>
        <v>4</v>
      </c>
      <c r="I189" s="66">
        <f t="shared" si="58"/>
        <v>4</v>
      </c>
      <c r="J189" s="66">
        <f t="shared" si="59"/>
        <v>1</v>
      </c>
      <c r="K189" s="74">
        <v>0.0</v>
      </c>
      <c r="L189" s="66">
        <v>0.0</v>
      </c>
      <c r="M189" s="66">
        <v>1.0</v>
      </c>
      <c r="N189" s="66">
        <v>0.0</v>
      </c>
      <c r="O189" s="66">
        <v>0.0</v>
      </c>
      <c r="P189" s="66">
        <v>0.0</v>
      </c>
      <c r="Q189" s="66">
        <v>0.0</v>
      </c>
      <c r="R189" s="66">
        <v>0.0</v>
      </c>
      <c r="S189" s="66">
        <v>0.0</v>
      </c>
      <c r="T189" s="66">
        <v>0.0</v>
      </c>
      <c r="U189" s="66">
        <v>0.0</v>
      </c>
      <c r="V189" s="66">
        <v>3.0</v>
      </c>
      <c r="W189" s="66">
        <v>1.0</v>
      </c>
      <c r="X189" s="75">
        <v>1.0</v>
      </c>
    </row>
    <row r="190" ht="15.75" customHeight="1">
      <c r="A190" s="68">
        <v>15.0</v>
      </c>
      <c r="B190" s="69">
        <v>45818.0</v>
      </c>
      <c r="C190" s="87">
        <v>0.8958333333333334</v>
      </c>
      <c r="D190" s="72" t="s">
        <v>58</v>
      </c>
      <c r="E190" s="72" t="s">
        <v>59</v>
      </c>
      <c r="F190" s="72" t="s">
        <v>40</v>
      </c>
      <c r="G190" s="66">
        <v>10.0</v>
      </c>
      <c r="H190" s="74">
        <f t="shared" si="57"/>
        <v>3</v>
      </c>
      <c r="I190" s="66">
        <f t="shared" si="58"/>
        <v>3</v>
      </c>
      <c r="J190" s="66">
        <f t="shared" si="59"/>
        <v>1</v>
      </c>
      <c r="K190" s="74">
        <v>0.0</v>
      </c>
      <c r="L190" s="66">
        <v>1.0</v>
      </c>
      <c r="M190" s="66">
        <v>0.0</v>
      </c>
      <c r="N190" s="66">
        <v>0.0</v>
      </c>
      <c r="O190" s="66">
        <v>0.0</v>
      </c>
      <c r="P190" s="66">
        <v>1.0</v>
      </c>
      <c r="Q190" s="66">
        <v>0.0</v>
      </c>
      <c r="R190" s="66">
        <v>0.0</v>
      </c>
      <c r="S190" s="66">
        <v>0.0</v>
      </c>
      <c r="T190" s="66">
        <v>0.0</v>
      </c>
      <c r="U190" s="66">
        <v>0.0</v>
      </c>
      <c r="V190" s="66">
        <v>1.0</v>
      </c>
      <c r="W190" s="66">
        <v>2.0</v>
      </c>
      <c r="X190" s="75">
        <v>1.0</v>
      </c>
    </row>
    <row r="191" ht="15.75" customHeight="1">
      <c r="A191" s="93">
        <v>15.0</v>
      </c>
      <c r="B191" s="94">
        <v>45818.0</v>
      </c>
      <c r="C191" s="95">
        <v>0.8958333333333334</v>
      </c>
      <c r="D191" s="96" t="s">
        <v>58</v>
      </c>
      <c r="E191" s="96" t="s">
        <v>59</v>
      </c>
      <c r="F191" s="96" t="s">
        <v>44</v>
      </c>
      <c r="G191" s="97"/>
      <c r="H191" s="89">
        <f t="shared" ref="H191:X191" si="60">SUBTOTAL(109,H181:H190)</f>
        <v>45</v>
      </c>
      <c r="I191" s="90">
        <f t="shared" si="60"/>
        <v>40</v>
      </c>
      <c r="J191" s="90">
        <f t="shared" si="60"/>
        <v>24</v>
      </c>
      <c r="K191" s="89">
        <f t="shared" si="60"/>
        <v>13</v>
      </c>
      <c r="L191" s="90">
        <f t="shared" si="60"/>
        <v>6</v>
      </c>
      <c r="M191" s="90">
        <f t="shared" si="60"/>
        <v>4</v>
      </c>
      <c r="N191" s="90">
        <f t="shared" si="60"/>
        <v>0</v>
      </c>
      <c r="O191" s="90">
        <f t="shared" si="60"/>
        <v>1</v>
      </c>
      <c r="P191" s="90">
        <f t="shared" si="60"/>
        <v>2</v>
      </c>
      <c r="Q191" s="90">
        <f t="shared" si="60"/>
        <v>2</v>
      </c>
      <c r="R191" s="90">
        <f t="shared" si="60"/>
        <v>3</v>
      </c>
      <c r="S191" s="90">
        <f t="shared" si="60"/>
        <v>0</v>
      </c>
      <c r="T191" s="90">
        <f t="shared" si="60"/>
        <v>0</v>
      </c>
      <c r="U191" s="90">
        <f t="shared" si="60"/>
        <v>0</v>
      </c>
      <c r="V191" s="90">
        <f t="shared" si="60"/>
        <v>14</v>
      </c>
      <c r="W191" s="90">
        <f t="shared" si="60"/>
        <v>17</v>
      </c>
      <c r="X191" s="91">
        <f t="shared" si="60"/>
        <v>17</v>
      </c>
    </row>
    <row r="192" ht="15.75" customHeight="1">
      <c r="A192" s="68">
        <v>16.0</v>
      </c>
      <c r="B192" s="69">
        <v>45824.0</v>
      </c>
      <c r="C192" s="87">
        <v>0.8333333333333334</v>
      </c>
      <c r="D192" s="72" t="s">
        <v>54</v>
      </c>
      <c r="E192" s="72" t="s">
        <v>56</v>
      </c>
      <c r="F192" s="72" t="s">
        <v>26</v>
      </c>
      <c r="G192" s="66">
        <v>1.0</v>
      </c>
      <c r="H192" s="74">
        <f t="shared" ref="H192:H461" si="61">SUM(K192:V192)</f>
        <v>4</v>
      </c>
      <c r="I192" s="66">
        <f t="shared" ref="I192:I461" si="62">SUM(K192:P192,S192:V192)</f>
        <v>4</v>
      </c>
      <c r="J192" s="66">
        <f t="shared" ref="J192:J461" si="63">SUM(K192:O192)</f>
        <v>4</v>
      </c>
      <c r="K192" s="74">
        <v>2.0</v>
      </c>
      <c r="L192" s="66">
        <v>0.0</v>
      </c>
      <c r="M192" s="66">
        <v>2.0</v>
      </c>
      <c r="N192" s="66">
        <v>0.0</v>
      </c>
      <c r="O192" s="66">
        <v>0.0</v>
      </c>
      <c r="P192" s="66">
        <v>0.0</v>
      </c>
      <c r="Q192" s="66">
        <v>0.0</v>
      </c>
      <c r="R192" s="66">
        <v>0.0</v>
      </c>
      <c r="S192" s="66">
        <v>0.0</v>
      </c>
      <c r="T192" s="66">
        <v>0.0</v>
      </c>
      <c r="U192" s="66">
        <v>0.0</v>
      </c>
      <c r="V192" s="66">
        <v>0.0</v>
      </c>
      <c r="W192" s="66">
        <v>3.0</v>
      </c>
      <c r="X192" s="75">
        <v>2.0</v>
      </c>
    </row>
    <row r="193" ht="15.75" customHeight="1">
      <c r="A193" s="68">
        <v>16.0</v>
      </c>
      <c r="B193" s="69">
        <v>45824.0</v>
      </c>
      <c r="C193" s="87">
        <v>0.8333333333333334</v>
      </c>
      <c r="D193" s="72" t="s">
        <v>54</v>
      </c>
      <c r="E193" s="72" t="s">
        <v>56</v>
      </c>
      <c r="F193" s="72" t="s">
        <v>25</v>
      </c>
      <c r="G193" s="66">
        <v>2.0</v>
      </c>
      <c r="H193" s="74">
        <f t="shared" si="61"/>
        <v>4</v>
      </c>
      <c r="I193" s="66">
        <f t="shared" si="62"/>
        <v>4</v>
      </c>
      <c r="J193" s="66">
        <f t="shared" si="63"/>
        <v>3</v>
      </c>
      <c r="K193" s="74">
        <v>2.0</v>
      </c>
      <c r="L193" s="66">
        <v>1.0</v>
      </c>
      <c r="M193" s="66">
        <v>0.0</v>
      </c>
      <c r="N193" s="66">
        <v>0.0</v>
      </c>
      <c r="O193" s="66">
        <v>0.0</v>
      </c>
      <c r="P193" s="66">
        <v>0.0</v>
      </c>
      <c r="Q193" s="66">
        <v>0.0</v>
      </c>
      <c r="R193" s="66">
        <v>0.0</v>
      </c>
      <c r="S193" s="66">
        <v>0.0</v>
      </c>
      <c r="T193" s="66">
        <v>0.0</v>
      </c>
      <c r="U193" s="66">
        <v>0.0</v>
      </c>
      <c r="V193" s="66">
        <v>1.0</v>
      </c>
      <c r="W193" s="66">
        <v>2.0</v>
      </c>
      <c r="X193" s="75">
        <v>3.0</v>
      </c>
    </row>
    <row r="194" ht="15.75" customHeight="1">
      <c r="A194" s="68">
        <v>16.0</v>
      </c>
      <c r="B194" s="69">
        <v>45824.0</v>
      </c>
      <c r="C194" s="87">
        <v>0.8333333333333334</v>
      </c>
      <c r="D194" s="72" t="s">
        <v>54</v>
      </c>
      <c r="E194" s="72" t="s">
        <v>56</v>
      </c>
      <c r="F194" s="72" t="s">
        <v>32</v>
      </c>
      <c r="G194" s="66">
        <v>3.0</v>
      </c>
      <c r="H194" s="74">
        <f t="shared" si="61"/>
        <v>4</v>
      </c>
      <c r="I194" s="66">
        <f t="shared" si="62"/>
        <v>3</v>
      </c>
      <c r="J194" s="66">
        <f t="shared" si="63"/>
        <v>2</v>
      </c>
      <c r="K194" s="74">
        <v>1.0</v>
      </c>
      <c r="L194" s="66">
        <v>1.0</v>
      </c>
      <c r="M194" s="66">
        <v>0.0</v>
      </c>
      <c r="N194" s="66">
        <v>0.0</v>
      </c>
      <c r="O194" s="66">
        <v>0.0</v>
      </c>
      <c r="P194" s="66">
        <v>0.0</v>
      </c>
      <c r="Q194" s="66">
        <v>1.0</v>
      </c>
      <c r="R194" s="66">
        <v>0.0</v>
      </c>
      <c r="S194" s="66">
        <v>0.0</v>
      </c>
      <c r="T194" s="66">
        <v>0.0</v>
      </c>
      <c r="U194" s="66">
        <v>0.0</v>
      </c>
      <c r="V194" s="66">
        <v>1.0</v>
      </c>
      <c r="W194" s="66">
        <v>1.0</v>
      </c>
      <c r="X194" s="75">
        <v>1.0</v>
      </c>
    </row>
    <row r="195" ht="15.75" customHeight="1">
      <c r="A195" s="68">
        <v>16.0</v>
      </c>
      <c r="B195" s="69">
        <v>45824.0</v>
      </c>
      <c r="C195" s="87">
        <v>0.8333333333333334</v>
      </c>
      <c r="D195" s="72" t="s">
        <v>54</v>
      </c>
      <c r="E195" s="72" t="s">
        <v>56</v>
      </c>
      <c r="F195" s="72" t="s">
        <v>30</v>
      </c>
      <c r="G195" s="66">
        <v>4.0</v>
      </c>
      <c r="H195" s="74">
        <f t="shared" si="61"/>
        <v>4</v>
      </c>
      <c r="I195" s="66">
        <f t="shared" si="62"/>
        <v>3</v>
      </c>
      <c r="J195" s="66">
        <f t="shared" si="63"/>
        <v>2</v>
      </c>
      <c r="K195" s="74">
        <v>1.0</v>
      </c>
      <c r="L195" s="66">
        <v>1.0</v>
      </c>
      <c r="M195" s="66">
        <v>0.0</v>
      </c>
      <c r="N195" s="66">
        <v>0.0</v>
      </c>
      <c r="O195" s="66">
        <v>0.0</v>
      </c>
      <c r="P195" s="66">
        <v>0.0</v>
      </c>
      <c r="Q195" s="66">
        <v>0.0</v>
      </c>
      <c r="R195" s="66">
        <v>1.0</v>
      </c>
      <c r="S195" s="66">
        <v>0.0</v>
      </c>
      <c r="T195" s="66">
        <v>0.0</v>
      </c>
      <c r="U195" s="66">
        <v>0.0</v>
      </c>
      <c r="V195" s="66">
        <v>1.0</v>
      </c>
      <c r="W195" s="66">
        <v>1.0</v>
      </c>
      <c r="X195" s="75">
        <v>3.0</v>
      </c>
    </row>
    <row r="196" ht="15.75" customHeight="1">
      <c r="A196" s="68">
        <v>16.0</v>
      </c>
      <c r="B196" s="69">
        <v>45824.0</v>
      </c>
      <c r="C196" s="87">
        <v>0.8333333333333334</v>
      </c>
      <c r="D196" s="72" t="s">
        <v>54</v>
      </c>
      <c r="E196" s="72" t="s">
        <v>56</v>
      </c>
      <c r="F196" s="72" t="s">
        <v>33</v>
      </c>
      <c r="G196" s="66">
        <v>5.0</v>
      </c>
      <c r="H196" s="74">
        <f t="shared" si="61"/>
        <v>4</v>
      </c>
      <c r="I196" s="66">
        <f t="shared" si="62"/>
        <v>3</v>
      </c>
      <c r="J196" s="66">
        <f t="shared" si="63"/>
        <v>3</v>
      </c>
      <c r="K196" s="74">
        <v>3.0</v>
      </c>
      <c r="L196" s="66">
        <v>0.0</v>
      </c>
      <c r="M196" s="66">
        <v>0.0</v>
      </c>
      <c r="N196" s="66">
        <v>0.0</v>
      </c>
      <c r="O196" s="66">
        <v>0.0</v>
      </c>
      <c r="P196" s="66">
        <v>0.0</v>
      </c>
      <c r="Q196" s="66">
        <v>0.0</v>
      </c>
      <c r="R196" s="66">
        <v>1.0</v>
      </c>
      <c r="S196" s="66">
        <v>0.0</v>
      </c>
      <c r="T196" s="66">
        <v>0.0</v>
      </c>
      <c r="U196" s="66">
        <v>0.0</v>
      </c>
      <c r="V196" s="66">
        <v>0.0</v>
      </c>
      <c r="W196" s="66">
        <v>3.0</v>
      </c>
      <c r="X196" s="75">
        <v>2.0</v>
      </c>
    </row>
    <row r="197" ht="15.75" customHeight="1">
      <c r="A197" s="68">
        <v>16.0</v>
      </c>
      <c r="B197" s="69">
        <v>45824.0</v>
      </c>
      <c r="C197" s="87">
        <v>0.8333333333333334</v>
      </c>
      <c r="D197" s="72" t="s">
        <v>54</v>
      </c>
      <c r="E197" s="72" t="s">
        <v>56</v>
      </c>
      <c r="F197" s="72" t="s">
        <v>28</v>
      </c>
      <c r="G197" s="66">
        <v>6.0</v>
      </c>
      <c r="H197" s="74">
        <f t="shared" si="61"/>
        <v>4</v>
      </c>
      <c r="I197" s="66">
        <f t="shared" si="62"/>
        <v>4</v>
      </c>
      <c r="J197" s="66">
        <f t="shared" si="63"/>
        <v>1</v>
      </c>
      <c r="K197" s="74">
        <v>0.0</v>
      </c>
      <c r="L197" s="66">
        <v>0.0</v>
      </c>
      <c r="M197" s="66">
        <v>1.0</v>
      </c>
      <c r="N197" s="66">
        <v>0.0</v>
      </c>
      <c r="O197" s="66">
        <v>0.0</v>
      </c>
      <c r="P197" s="66">
        <v>0.0</v>
      </c>
      <c r="Q197" s="66">
        <v>0.0</v>
      </c>
      <c r="R197" s="66">
        <v>0.0</v>
      </c>
      <c r="S197" s="66">
        <v>0.0</v>
      </c>
      <c r="T197" s="66">
        <v>0.0</v>
      </c>
      <c r="U197" s="66">
        <v>0.0</v>
      </c>
      <c r="V197" s="66">
        <v>3.0</v>
      </c>
      <c r="W197" s="66">
        <v>1.0</v>
      </c>
      <c r="X197" s="75">
        <v>0.0</v>
      </c>
    </row>
    <row r="198" ht="15.75" customHeight="1">
      <c r="A198" s="68">
        <v>16.0</v>
      </c>
      <c r="B198" s="69">
        <v>45824.0</v>
      </c>
      <c r="C198" s="87">
        <v>0.8333333333333334</v>
      </c>
      <c r="D198" s="72" t="s">
        <v>54</v>
      </c>
      <c r="E198" s="72" t="s">
        <v>56</v>
      </c>
      <c r="F198" s="72" t="s">
        <v>35</v>
      </c>
      <c r="G198" s="66">
        <v>7.0</v>
      </c>
      <c r="H198" s="74">
        <f t="shared" si="61"/>
        <v>4</v>
      </c>
      <c r="I198" s="66">
        <f t="shared" si="62"/>
        <v>4</v>
      </c>
      <c r="J198" s="66">
        <f t="shared" si="63"/>
        <v>4</v>
      </c>
      <c r="K198" s="74">
        <v>2.0</v>
      </c>
      <c r="L198" s="66">
        <v>1.0</v>
      </c>
      <c r="M198" s="66">
        <v>1.0</v>
      </c>
      <c r="N198" s="66">
        <v>0.0</v>
      </c>
      <c r="O198" s="66">
        <v>0.0</v>
      </c>
      <c r="P198" s="66">
        <v>0.0</v>
      </c>
      <c r="Q198" s="66">
        <v>0.0</v>
      </c>
      <c r="R198" s="66">
        <v>0.0</v>
      </c>
      <c r="S198" s="66">
        <v>0.0</v>
      </c>
      <c r="T198" s="66">
        <v>0.0</v>
      </c>
      <c r="U198" s="66">
        <v>0.0</v>
      </c>
      <c r="V198" s="66">
        <v>0.0</v>
      </c>
      <c r="W198" s="66">
        <v>2.0</v>
      </c>
      <c r="X198" s="75">
        <v>4.0</v>
      </c>
    </row>
    <row r="199" ht="15.75" customHeight="1">
      <c r="A199" s="68">
        <v>16.0</v>
      </c>
      <c r="B199" s="69">
        <v>45824.0</v>
      </c>
      <c r="C199" s="87">
        <v>0.8333333333333334</v>
      </c>
      <c r="D199" s="72" t="s">
        <v>54</v>
      </c>
      <c r="E199" s="72" t="s">
        <v>56</v>
      </c>
      <c r="F199" s="72" t="s">
        <v>29</v>
      </c>
      <c r="G199" s="66">
        <v>8.0</v>
      </c>
      <c r="H199" s="74">
        <f t="shared" si="61"/>
        <v>4</v>
      </c>
      <c r="I199" s="66">
        <f t="shared" si="62"/>
        <v>4</v>
      </c>
      <c r="J199" s="66">
        <f t="shared" si="63"/>
        <v>2</v>
      </c>
      <c r="K199" s="74">
        <v>1.0</v>
      </c>
      <c r="L199" s="66">
        <v>1.0</v>
      </c>
      <c r="M199" s="66">
        <v>0.0</v>
      </c>
      <c r="N199" s="66">
        <v>0.0</v>
      </c>
      <c r="O199" s="66">
        <v>0.0</v>
      </c>
      <c r="P199" s="66">
        <v>0.0</v>
      </c>
      <c r="Q199" s="66">
        <v>0.0</v>
      </c>
      <c r="R199" s="66">
        <v>0.0</v>
      </c>
      <c r="S199" s="66">
        <v>0.0</v>
      </c>
      <c r="T199" s="66">
        <v>0.0</v>
      </c>
      <c r="U199" s="66">
        <v>0.0</v>
      </c>
      <c r="V199" s="66">
        <v>2.0</v>
      </c>
      <c r="W199" s="66">
        <v>0.0</v>
      </c>
      <c r="X199" s="75">
        <v>1.0</v>
      </c>
    </row>
    <row r="200" ht="15.75" customHeight="1">
      <c r="A200" s="68">
        <v>16.0</v>
      </c>
      <c r="B200" s="69">
        <v>45824.0</v>
      </c>
      <c r="C200" s="87">
        <v>0.8333333333333334</v>
      </c>
      <c r="D200" s="72" t="s">
        <v>54</v>
      </c>
      <c r="E200" s="72" t="s">
        <v>56</v>
      </c>
      <c r="F200" s="72" t="s">
        <v>27</v>
      </c>
      <c r="G200" s="66">
        <v>9.0</v>
      </c>
      <c r="H200" s="74">
        <f t="shared" si="61"/>
        <v>3</v>
      </c>
      <c r="I200" s="66">
        <f t="shared" si="62"/>
        <v>3</v>
      </c>
      <c r="J200" s="66">
        <f t="shared" si="63"/>
        <v>2</v>
      </c>
      <c r="K200" s="74">
        <v>2.0</v>
      </c>
      <c r="L200" s="66">
        <v>0.0</v>
      </c>
      <c r="M200" s="66">
        <v>0.0</v>
      </c>
      <c r="N200" s="66">
        <v>0.0</v>
      </c>
      <c r="O200" s="66">
        <v>0.0</v>
      </c>
      <c r="P200" s="66">
        <v>0.0</v>
      </c>
      <c r="Q200" s="66">
        <v>0.0</v>
      </c>
      <c r="R200" s="66">
        <v>0.0</v>
      </c>
      <c r="S200" s="66">
        <v>0.0</v>
      </c>
      <c r="T200" s="66">
        <v>0.0</v>
      </c>
      <c r="U200" s="66">
        <v>0.0</v>
      </c>
      <c r="V200" s="66">
        <v>1.0</v>
      </c>
      <c r="W200" s="66">
        <v>0.0</v>
      </c>
      <c r="X200" s="75">
        <v>1.0</v>
      </c>
    </row>
    <row r="201" ht="15.75" customHeight="1">
      <c r="A201" s="68">
        <v>16.0</v>
      </c>
      <c r="B201" s="69">
        <v>45824.0</v>
      </c>
      <c r="C201" s="87">
        <v>0.8333333333333334</v>
      </c>
      <c r="D201" s="72" t="s">
        <v>54</v>
      </c>
      <c r="E201" s="72" t="s">
        <v>56</v>
      </c>
      <c r="F201" s="72" t="s">
        <v>38</v>
      </c>
      <c r="G201" s="66">
        <v>10.0</v>
      </c>
      <c r="H201" s="74">
        <f t="shared" si="61"/>
        <v>3</v>
      </c>
      <c r="I201" s="66">
        <f t="shared" si="62"/>
        <v>3</v>
      </c>
      <c r="J201" s="66">
        <f t="shared" si="63"/>
        <v>1</v>
      </c>
      <c r="K201" s="74">
        <v>1.0</v>
      </c>
      <c r="L201" s="66">
        <v>0.0</v>
      </c>
      <c r="M201" s="66">
        <v>0.0</v>
      </c>
      <c r="N201" s="66">
        <v>0.0</v>
      </c>
      <c r="O201" s="66">
        <v>0.0</v>
      </c>
      <c r="P201" s="66">
        <v>0.0</v>
      </c>
      <c r="Q201" s="66">
        <v>0.0</v>
      </c>
      <c r="R201" s="66">
        <v>0.0</v>
      </c>
      <c r="S201" s="66">
        <v>0.0</v>
      </c>
      <c r="T201" s="66">
        <v>0.0</v>
      </c>
      <c r="U201" s="66">
        <v>0.0</v>
      </c>
      <c r="V201" s="66">
        <v>2.0</v>
      </c>
      <c r="W201" s="66">
        <v>1.0</v>
      </c>
      <c r="X201" s="75">
        <v>0.0</v>
      </c>
    </row>
    <row r="202" ht="15.75" customHeight="1">
      <c r="A202" s="68">
        <v>16.0</v>
      </c>
      <c r="B202" s="69">
        <v>45824.0</v>
      </c>
      <c r="C202" s="87">
        <v>0.8333333333333334</v>
      </c>
      <c r="D202" s="72" t="s">
        <v>54</v>
      </c>
      <c r="E202" s="72" t="s">
        <v>56</v>
      </c>
      <c r="F202" s="72" t="s">
        <v>36</v>
      </c>
      <c r="G202" s="66">
        <v>10.0</v>
      </c>
      <c r="H202" s="74">
        <f t="shared" si="61"/>
        <v>3</v>
      </c>
      <c r="I202" s="66">
        <f t="shared" si="62"/>
        <v>3</v>
      </c>
      <c r="J202" s="66">
        <f t="shared" si="63"/>
        <v>2</v>
      </c>
      <c r="K202" s="74">
        <v>1.0</v>
      </c>
      <c r="L202" s="66">
        <v>1.0</v>
      </c>
      <c r="M202" s="66">
        <v>0.0</v>
      </c>
      <c r="N202" s="66">
        <v>0.0</v>
      </c>
      <c r="O202" s="66">
        <v>0.0</v>
      </c>
      <c r="P202" s="66">
        <v>0.0</v>
      </c>
      <c r="Q202" s="66">
        <v>0.0</v>
      </c>
      <c r="R202" s="66">
        <v>0.0</v>
      </c>
      <c r="S202" s="66">
        <v>0.0</v>
      </c>
      <c r="T202" s="66">
        <v>0.0</v>
      </c>
      <c r="U202" s="66">
        <v>0.0</v>
      </c>
      <c r="V202" s="66">
        <v>1.0</v>
      </c>
      <c r="W202" s="66">
        <v>2.0</v>
      </c>
      <c r="X202" s="75">
        <v>0.0</v>
      </c>
    </row>
    <row r="203" ht="15.75" customHeight="1">
      <c r="A203" s="68">
        <v>16.0</v>
      </c>
      <c r="B203" s="69">
        <v>45824.0</v>
      </c>
      <c r="C203" s="87">
        <v>0.8333333333333334</v>
      </c>
      <c r="D203" s="72" t="s">
        <v>54</v>
      </c>
      <c r="E203" s="72" t="s">
        <v>56</v>
      </c>
      <c r="F203" s="72" t="s">
        <v>39</v>
      </c>
      <c r="G203" s="66">
        <v>12.0</v>
      </c>
      <c r="H203" s="74">
        <f t="shared" si="61"/>
        <v>3</v>
      </c>
      <c r="I203" s="66">
        <f t="shared" si="62"/>
        <v>3</v>
      </c>
      <c r="J203" s="66">
        <f t="shared" si="63"/>
        <v>1</v>
      </c>
      <c r="K203" s="74">
        <v>0.0</v>
      </c>
      <c r="L203" s="66">
        <v>1.0</v>
      </c>
      <c r="M203" s="66">
        <v>0.0</v>
      </c>
      <c r="N203" s="66">
        <v>0.0</v>
      </c>
      <c r="O203" s="66">
        <v>0.0</v>
      </c>
      <c r="P203" s="66">
        <v>0.0</v>
      </c>
      <c r="Q203" s="66">
        <v>0.0</v>
      </c>
      <c r="R203" s="66">
        <v>0.0</v>
      </c>
      <c r="S203" s="66">
        <v>0.0</v>
      </c>
      <c r="T203" s="66">
        <v>0.0</v>
      </c>
      <c r="U203" s="66">
        <v>1.0</v>
      </c>
      <c r="V203" s="66">
        <v>1.0</v>
      </c>
      <c r="W203" s="66">
        <v>1.0</v>
      </c>
      <c r="X203" s="75">
        <v>1.0</v>
      </c>
    </row>
    <row r="204" ht="15.75" customHeight="1">
      <c r="A204" s="68">
        <v>16.0</v>
      </c>
      <c r="B204" s="69">
        <v>45824.0</v>
      </c>
      <c r="C204" s="87">
        <v>0.8333333333333334</v>
      </c>
      <c r="D204" s="72" t="s">
        <v>54</v>
      </c>
      <c r="E204" s="72" t="s">
        <v>56</v>
      </c>
      <c r="F204" s="72" t="s">
        <v>40</v>
      </c>
      <c r="G204" s="66">
        <v>13.0</v>
      </c>
      <c r="H204" s="74">
        <f t="shared" si="61"/>
        <v>3</v>
      </c>
      <c r="I204" s="66">
        <f t="shared" si="62"/>
        <v>3</v>
      </c>
      <c r="J204" s="66">
        <f t="shared" si="63"/>
        <v>2</v>
      </c>
      <c r="K204" s="74">
        <v>2.0</v>
      </c>
      <c r="L204" s="66">
        <v>0.0</v>
      </c>
      <c r="M204" s="66">
        <v>0.0</v>
      </c>
      <c r="N204" s="66">
        <v>0.0</v>
      </c>
      <c r="O204" s="66">
        <v>0.0</v>
      </c>
      <c r="P204" s="66">
        <v>0.0</v>
      </c>
      <c r="Q204" s="66">
        <v>0.0</v>
      </c>
      <c r="R204" s="66">
        <v>0.0</v>
      </c>
      <c r="S204" s="66">
        <v>0.0</v>
      </c>
      <c r="T204" s="66">
        <v>0.0</v>
      </c>
      <c r="U204" s="66">
        <v>1.0</v>
      </c>
      <c r="V204" s="66">
        <v>0.0</v>
      </c>
      <c r="W204" s="66">
        <v>2.0</v>
      </c>
      <c r="X204" s="75">
        <v>1.0</v>
      </c>
    </row>
    <row r="205" ht="15.75" customHeight="1">
      <c r="A205" s="93">
        <v>16.0</v>
      </c>
      <c r="B205" s="94">
        <v>45824.0</v>
      </c>
      <c r="C205" s="95">
        <v>0.8333333333333334</v>
      </c>
      <c r="D205" s="96" t="s">
        <v>54</v>
      </c>
      <c r="E205" s="96" t="s">
        <v>56</v>
      </c>
      <c r="F205" s="96" t="s">
        <v>44</v>
      </c>
      <c r="G205" s="97"/>
      <c r="H205" s="89">
        <f t="shared" si="61"/>
        <v>47</v>
      </c>
      <c r="I205" s="90">
        <f t="shared" si="62"/>
        <v>44</v>
      </c>
      <c r="J205" s="90">
        <f t="shared" si="63"/>
        <v>29</v>
      </c>
      <c r="K205" s="89">
        <f t="shared" ref="K205:X205" si="64">SUBTOTAL(109,K192:K204)</f>
        <v>18</v>
      </c>
      <c r="L205" s="90">
        <f t="shared" si="64"/>
        <v>7</v>
      </c>
      <c r="M205" s="90">
        <f t="shared" si="64"/>
        <v>4</v>
      </c>
      <c r="N205" s="90">
        <f t="shared" si="64"/>
        <v>0</v>
      </c>
      <c r="O205" s="90">
        <f t="shared" si="64"/>
        <v>0</v>
      </c>
      <c r="P205" s="90">
        <f t="shared" si="64"/>
        <v>0</v>
      </c>
      <c r="Q205" s="90">
        <f t="shared" si="64"/>
        <v>1</v>
      </c>
      <c r="R205" s="90">
        <f t="shared" si="64"/>
        <v>2</v>
      </c>
      <c r="S205" s="90">
        <f t="shared" si="64"/>
        <v>0</v>
      </c>
      <c r="T205" s="90">
        <f t="shared" si="64"/>
        <v>0</v>
      </c>
      <c r="U205" s="90">
        <f t="shared" si="64"/>
        <v>2</v>
      </c>
      <c r="V205" s="90">
        <f t="shared" si="64"/>
        <v>13</v>
      </c>
      <c r="W205" s="90">
        <f t="shared" si="64"/>
        <v>19</v>
      </c>
      <c r="X205" s="91">
        <f t="shared" si="64"/>
        <v>19</v>
      </c>
    </row>
    <row r="206" ht="15.75" customHeight="1">
      <c r="A206" s="98">
        <v>17.0</v>
      </c>
      <c r="B206" s="99">
        <v>45830.0</v>
      </c>
      <c r="C206" s="100">
        <v>0.7083333333333334</v>
      </c>
      <c r="D206" s="101" t="s">
        <v>58</v>
      </c>
      <c r="E206" s="101" t="s">
        <v>66</v>
      </c>
      <c r="F206" s="102" t="s">
        <v>26</v>
      </c>
      <c r="G206" s="103">
        <v>1.0</v>
      </c>
      <c r="H206" s="104">
        <f t="shared" si="61"/>
        <v>3</v>
      </c>
      <c r="I206" s="105">
        <f t="shared" si="62"/>
        <v>2</v>
      </c>
      <c r="J206" s="105">
        <f t="shared" si="63"/>
        <v>1</v>
      </c>
      <c r="K206" s="106">
        <v>1.0</v>
      </c>
      <c r="L206" s="107">
        <v>0.0</v>
      </c>
      <c r="M206" s="107">
        <v>0.0</v>
      </c>
      <c r="N206" s="107">
        <v>0.0</v>
      </c>
      <c r="O206" s="107">
        <v>0.0</v>
      </c>
      <c r="P206" s="107">
        <v>0.0</v>
      </c>
      <c r="Q206" s="107">
        <v>1.0</v>
      </c>
      <c r="R206" s="107">
        <v>0.0</v>
      </c>
      <c r="S206" s="107">
        <v>0.0</v>
      </c>
      <c r="T206" s="107">
        <v>0.0</v>
      </c>
      <c r="U206" s="107">
        <v>0.0</v>
      </c>
      <c r="V206" s="107">
        <v>1.0</v>
      </c>
      <c r="W206" s="107">
        <v>2.0</v>
      </c>
      <c r="X206" s="108">
        <v>0.0</v>
      </c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ht="15.75" customHeight="1">
      <c r="A207" s="109">
        <v>17.0</v>
      </c>
      <c r="B207" s="110">
        <v>45830.0</v>
      </c>
      <c r="C207" s="111">
        <v>0.7083333333333334</v>
      </c>
      <c r="D207" s="112" t="s">
        <v>58</v>
      </c>
      <c r="E207" s="112" t="s">
        <v>66</v>
      </c>
      <c r="F207" s="113" t="s">
        <v>25</v>
      </c>
      <c r="G207" s="114">
        <v>2.0</v>
      </c>
      <c r="H207" s="115">
        <f t="shared" si="61"/>
        <v>3</v>
      </c>
      <c r="I207" s="116">
        <f t="shared" si="62"/>
        <v>2</v>
      </c>
      <c r="J207" s="116">
        <f t="shared" si="63"/>
        <v>1</v>
      </c>
      <c r="K207" s="117">
        <v>1.0</v>
      </c>
      <c r="L207" s="118">
        <v>0.0</v>
      </c>
      <c r="M207" s="118">
        <v>0.0</v>
      </c>
      <c r="N207" s="118">
        <v>0.0</v>
      </c>
      <c r="O207" s="118">
        <v>0.0</v>
      </c>
      <c r="P207" s="118">
        <v>0.0</v>
      </c>
      <c r="Q207" s="118">
        <v>1.0</v>
      </c>
      <c r="R207" s="118">
        <v>0.0</v>
      </c>
      <c r="S207" s="118">
        <v>0.0</v>
      </c>
      <c r="T207" s="118">
        <v>0.0</v>
      </c>
      <c r="U207" s="118">
        <v>0.0</v>
      </c>
      <c r="V207" s="118">
        <v>1.0</v>
      </c>
      <c r="W207" s="118">
        <v>1.0</v>
      </c>
      <c r="X207" s="119">
        <v>1.0</v>
      </c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ht="15.75" customHeight="1">
      <c r="A208" s="98">
        <v>17.0</v>
      </c>
      <c r="B208" s="99">
        <v>45830.0</v>
      </c>
      <c r="C208" s="100">
        <v>0.7083333333333334</v>
      </c>
      <c r="D208" s="101" t="s">
        <v>58</v>
      </c>
      <c r="E208" s="101" t="s">
        <v>66</v>
      </c>
      <c r="F208" s="102" t="s">
        <v>32</v>
      </c>
      <c r="G208" s="103">
        <v>3.0</v>
      </c>
      <c r="H208" s="104">
        <f t="shared" si="61"/>
        <v>3</v>
      </c>
      <c r="I208" s="105">
        <f t="shared" si="62"/>
        <v>3</v>
      </c>
      <c r="J208" s="105">
        <f t="shared" si="63"/>
        <v>1</v>
      </c>
      <c r="K208" s="106">
        <v>0.0</v>
      </c>
      <c r="L208" s="107">
        <v>0.0</v>
      </c>
      <c r="M208" s="107">
        <v>1.0</v>
      </c>
      <c r="N208" s="107">
        <v>0.0</v>
      </c>
      <c r="O208" s="107">
        <v>0.0</v>
      </c>
      <c r="P208" s="107">
        <v>0.0</v>
      </c>
      <c r="Q208" s="107">
        <v>0.0</v>
      </c>
      <c r="R208" s="107">
        <v>0.0</v>
      </c>
      <c r="S208" s="107">
        <v>0.0</v>
      </c>
      <c r="T208" s="107">
        <v>0.0</v>
      </c>
      <c r="U208" s="107">
        <v>1.0</v>
      </c>
      <c r="V208" s="107">
        <v>1.0</v>
      </c>
      <c r="W208" s="107">
        <v>1.0</v>
      </c>
      <c r="X208" s="108">
        <v>2.0</v>
      </c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ht="15.75" customHeight="1">
      <c r="A209" s="109">
        <v>17.0</v>
      </c>
      <c r="B209" s="110">
        <v>45830.0</v>
      </c>
      <c r="C209" s="111">
        <v>0.7083333333333334</v>
      </c>
      <c r="D209" s="112" t="s">
        <v>58</v>
      </c>
      <c r="E209" s="112" t="s">
        <v>66</v>
      </c>
      <c r="F209" s="113" t="s">
        <v>30</v>
      </c>
      <c r="G209" s="114">
        <v>4.0</v>
      </c>
      <c r="H209" s="115">
        <f t="shared" si="61"/>
        <v>3</v>
      </c>
      <c r="I209" s="116">
        <f t="shared" si="62"/>
        <v>3</v>
      </c>
      <c r="J209" s="116">
        <f t="shared" si="63"/>
        <v>2</v>
      </c>
      <c r="K209" s="117">
        <v>0.0</v>
      </c>
      <c r="L209" s="118">
        <v>0.0</v>
      </c>
      <c r="M209" s="118">
        <v>0.0</v>
      </c>
      <c r="N209" s="118">
        <v>0.0</v>
      </c>
      <c r="O209" s="118">
        <v>2.0</v>
      </c>
      <c r="P209" s="118">
        <v>0.0</v>
      </c>
      <c r="Q209" s="118">
        <v>0.0</v>
      </c>
      <c r="R209" s="118">
        <v>0.0</v>
      </c>
      <c r="S209" s="118">
        <v>0.0</v>
      </c>
      <c r="T209" s="118">
        <v>1.0</v>
      </c>
      <c r="U209" s="118">
        <v>0.0</v>
      </c>
      <c r="V209" s="118">
        <v>0.0</v>
      </c>
      <c r="W209" s="118">
        <v>2.0</v>
      </c>
      <c r="X209" s="119">
        <v>2.0</v>
      </c>
      <c r="Y209" s="120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ht="15.75" customHeight="1">
      <c r="A210" s="98">
        <v>17.0</v>
      </c>
      <c r="B210" s="99">
        <v>45830.0</v>
      </c>
      <c r="C210" s="100">
        <v>0.7083333333333334</v>
      </c>
      <c r="D210" s="101" t="s">
        <v>58</v>
      </c>
      <c r="E210" s="101" t="s">
        <v>66</v>
      </c>
      <c r="F210" s="102" t="s">
        <v>33</v>
      </c>
      <c r="G210" s="103">
        <v>5.0</v>
      </c>
      <c r="H210" s="104">
        <f t="shared" si="61"/>
        <v>3</v>
      </c>
      <c r="I210" s="105">
        <f t="shared" si="62"/>
        <v>2</v>
      </c>
      <c r="J210" s="105">
        <f t="shared" si="63"/>
        <v>2</v>
      </c>
      <c r="K210" s="106">
        <v>2.0</v>
      </c>
      <c r="L210" s="107">
        <v>0.0</v>
      </c>
      <c r="M210" s="107">
        <v>0.0</v>
      </c>
      <c r="N210" s="107">
        <v>0.0</v>
      </c>
      <c r="O210" s="107">
        <v>0.0</v>
      </c>
      <c r="P210" s="107">
        <v>0.0</v>
      </c>
      <c r="Q210" s="107">
        <v>0.0</v>
      </c>
      <c r="R210" s="107">
        <v>1.0</v>
      </c>
      <c r="S210" s="107">
        <v>0.0</v>
      </c>
      <c r="T210" s="107">
        <v>0.0</v>
      </c>
      <c r="U210" s="107">
        <v>0.0</v>
      </c>
      <c r="V210" s="107">
        <v>0.0</v>
      </c>
      <c r="W210" s="107">
        <v>2.0</v>
      </c>
      <c r="X210" s="108">
        <v>1.0</v>
      </c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ht="15.75" customHeight="1">
      <c r="A211" s="109">
        <v>17.0</v>
      </c>
      <c r="B211" s="110">
        <v>45830.0</v>
      </c>
      <c r="C211" s="111">
        <v>0.7083333333333334</v>
      </c>
      <c r="D211" s="112" t="s">
        <v>58</v>
      </c>
      <c r="E211" s="112" t="s">
        <v>66</v>
      </c>
      <c r="F211" s="113" t="s">
        <v>28</v>
      </c>
      <c r="G211" s="114">
        <v>6.0</v>
      </c>
      <c r="H211" s="115">
        <f t="shared" si="61"/>
        <v>3</v>
      </c>
      <c r="I211" s="116">
        <f t="shared" si="62"/>
        <v>3</v>
      </c>
      <c r="J211" s="116">
        <f t="shared" si="63"/>
        <v>3</v>
      </c>
      <c r="K211" s="117">
        <v>1.0</v>
      </c>
      <c r="L211" s="118">
        <v>2.0</v>
      </c>
      <c r="M211" s="118">
        <v>0.0</v>
      </c>
      <c r="N211" s="118">
        <v>0.0</v>
      </c>
      <c r="O211" s="118">
        <v>0.0</v>
      </c>
      <c r="P211" s="118">
        <v>0.0</v>
      </c>
      <c r="Q211" s="118">
        <v>0.0</v>
      </c>
      <c r="R211" s="118">
        <v>0.0</v>
      </c>
      <c r="S211" s="118">
        <v>0.0</v>
      </c>
      <c r="T211" s="118">
        <v>0.0</v>
      </c>
      <c r="U211" s="118">
        <v>0.0</v>
      </c>
      <c r="V211" s="118">
        <v>0.0</v>
      </c>
      <c r="W211" s="118">
        <v>2.0</v>
      </c>
      <c r="X211" s="119">
        <v>0.0</v>
      </c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ht="15.75" customHeight="1">
      <c r="A212" s="98">
        <v>17.0</v>
      </c>
      <c r="B212" s="99">
        <v>45830.0</v>
      </c>
      <c r="C212" s="100">
        <v>0.7083333333333334</v>
      </c>
      <c r="D212" s="101" t="s">
        <v>58</v>
      </c>
      <c r="E212" s="101" t="s">
        <v>66</v>
      </c>
      <c r="F212" s="101" t="s">
        <v>37</v>
      </c>
      <c r="G212" s="103">
        <v>7.0</v>
      </c>
      <c r="H212" s="104">
        <f t="shared" si="61"/>
        <v>3</v>
      </c>
      <c r="I212" s="105">
        <f t="shared" si="62"/>
        <v>3</v>
      </c>
      <c r="J212" s="105">
        <f t="shared" si="63"/>
        <v>2</v>
      </c>
      <c r="K212" s="106">
        <v>2.0</v>
      </c>
      <c r="L212" s="107">
        <v>0.0</v>
      </c>
      <c r="M212" s="107">
        <v>0.0</v>
      </c>
      <c r="N212" s="107">
        <v>0.0</v>
      </c>
      <c r="O212" s="107">
        <v>0.0</v>
      </c>
      <c r="P212" s="107">
        <v>0.0</v>
      </c>
      <c r="Q212" s="107">
        <v>0.0</v>
      </c>
      <c r="R212" s="107">
        <v>0.0</v>
      </c>
      <c r="S212" s="107">
        <v>0.0</v>
      </c>
      <c r="T212" s="107">
        <v>0.0</v>
      </c>
      <c r="U212" s="107">
        <v>0.0</v>
      </c>
      <c r="V212" s="107">
        <v>1.0</v>
      </c>
      <c r="W212" s="107">
        <v>1.0</v>
      </c>
      <c r="X212" s="108">
        <v>4.0</v>
      </c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ht="15.75" customHeight="1">
      <c r="A213" s="109">
        <v>17.0</v>
      </c>
      <c r="B213" s="110">
        <v>45830.0</v>
      </c>
      <c r="C213" s="111">
        <v>0.7083333333333334</v>
      </c>
      <c r="D213" s="112" t="s">
        <v>58</v>
      </c>
      <c r="E213" s="112" t="s">
        <v>66</v>
      </c>
      <c r="F213" s="112" t="s">
        <v>27</v>
      </c>
      <c r="G213" s="114">
        <v>8.0</v>
      </c>
      <c r="H213" s="115">
        <f t="shared" si="61"/>
        <v>3</v>
      </c>
      <c r="I213" s="116">
        <f t="shared" si="62"/>
        <v>2</v>
      </c>
      <c r="J213" s="116">
        <f t="shared" si="63"/>
        <v>2</v>
      </c>
      <c r="K213" s="117">
        <v>2.0</v>
      </c>
      <c r="L213" s="118">
        <v>0.0</v>
      </c>
      <c r="M213" s="118">
        <v>0.0</v>
      </c>
      <c r="N213" s="118">
        <v>0.0</v>
      </c>
      <c r="O213" s="118">
        <v>0.0</v>
      </c>
      <c r="P213" s="118">
        <v>0.0</v>
      </c>
      <c r="Q213" s="118">
        <v>1.0</v>
      </c>
      <c r="R213" s="118">
        <v>0.0</v>
      </c>
      <c r="S213" s="118">
        <v>0.0</v>
      </c>
      <c r="T213" s="118">
        <v>0.0</v>
      </c>
      <c r="U213" s="118">
        <v>0.0</v>
      </c>
      <c r="V213" s="118">
        <v>0.0</v>
      </c>
      <c r="W213" s="118">
        <v>1.0</v>
      </c>
      <c r="X213" s="119">
        <v>0.0</v>
      </c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ht="15.75" customHeight="1">
      <c r="A214" s="98">
        <v>17.0</v>
      </c>
      <c r="B214" s="99">
        <v>45830.0</v>
      </c>
      <c r="C214" s="100">
        <v>0.7083333333333334</v>
      </c>
      <c r="D214" s="101" t="s">
        <v>58</v>
      </c>
      <c r="E214" s="101" t="s">
        <v>66</v>
      </c>
      <c r="F214" s="101" t="s">
        <v>35</v>
      </c>
      <c r="G214" s="103">
        <v>9.0</v>
      </c>
      <c r="H214" s="104">
        <f t="shared" si="61"/>
        <v>3</v>
      </c>
      <c r="I214" s="105">
        <f t="shared" si="62"/>
        <v>3</v>
      </c>
      <c r="J214" s="105">
        <f t="shared" si="63"/>
        <v>1</v>
      </c>
      <c r="K214" s="106">
        <v>1.0</v>
      </c>
      <c r="L214" s="107">
        <v>0.0</v>
      </c>
      <c r="M214" s="107">
        <v>0.0</v>
      </c>
      <c r="N214" s="107">
        <v>0.0</v>
      </c>
      <c r="O214" s="107">
        <v>0.0</v>
      </c>
      <c r="P214" s="107">
        <v>1.0</v>
      </c>
      <c r="Q214" s="107">
        <v>0.0</v>
      </c>
      <c r="R214" s="107">
        <v>0.0</v>
      </c>
      <c r="S214" s="107">
        <v>0.0</v>
      </c>
      <c r="T214" s="107">
        <v>0.0</v>
      </c>
      <c r="U214" s="107">
        <v>0.0</v>
      </c>
      <c r="V214" s="107">
        <v>1.0</v>
      </c>
      <c r="W214" s="107">
        <v>1.0</v>
      </c>
      <c r="X214" s="108">
        <v>1.0</v>
      </c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ht="15.75" customHeight="1">
      <c r="A215" s="109">
        <v>17.0</v>
      </c>
      <c r="B215" s="110">
        <v>45830.0</v>
      </c>
      <c r="C215" s="111">
        <v>0.7083333333333334</v>
      </c>
      <c r="D215" s="112" t="s">
        <v>58</v>
      </c>
      <c r="E215" s="112" t="s">
        <v>66</v>
      </c>
      <c r="F215" s="113" t="s">
        <v>38</v>
      </c>
      <c r="G215" s="114">
        <v>10.0</v>
      </c>
      <c r="H215" s="115">
        <f t="shared" si="61"/>
        <v>3</v>
      </c>
      <c r="I215" s="116">
        <f t="shared" si="62"/>
        <v>3</v>
      </c>
      <c r="J215" s="116">
        <f t="shared" si="63"/>
        <v>2</v>
      </c>
      <c r="K215" s="117">
        <v>1.0</v>
      </c>
      <c r="L215" s="118">
        <v>1.0</v>
      </c>
      <c r="M215" s="118">
        <v>0.0</v>
      </c>
      <c r="N215" s="118">
        <v>0.0</v>
      </c>
      <c r="O215" s="118">
        <v>0.0</v>
      </c>
      <c r="P215" s="118">
        <v>0.0</v>
      </c>
      <c r="Q215" s="118">
        <v>0.0</v>
      </c>
      <c r="R215" s="118">
        <v>0.0</v>
      </c>
      <c r="S215" s="118">
        <v>0.0</v>
      </c>
      <c r="T215" s="118">
        <v>0.0</v>
      </c>
      <c r="U215" s="118">
        <v>0.0</v>
      </c>
      <c r="V215" s="118">
        <v>1.0</v>
      </c>
      <c r="W215" s="118">
        <v>1.0</v>
      </c>
      <c r="X215" s="119">
        <v>2.0</v>
      </c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ht="15.75" customHeight="1">
      <c r="A216" s="98">
        <v>17.0</v>
      </c>
      <c r="B216" s="99">
        <v>45830.0</v>
      </c>
      <c r="C216" s="100">
        <v>0.7083333333333334</v>
      </c>
      <c r="D216" s="101" t="s">
        <v>58</v>
      </c>
      <c r="E216" s="101" t="s">
        <v>66</v>
      </c>
      <c r="F216" s="101" t="s">
        <v>34</v>
      </c>
      <c r="G216" s="103">
        <v>10.0</v>
      </c>
      <c r="H216" s="104">
        <f t="shared" si="61"/>
        <v>3</v>
      </c>
      <c r="I216" s="105">
        <f t="shared" si="62"/>
        <v>3</v>
      </c>
      <c r="J216" s="105">
        <f t="shared" si="63"/>
        <v>2</v>
      </c>
      <c r="K216" s="106">
        <v>1.0</v>
      </c>
      <c r="L216" s="107">
        <v>0.0</v>
      </c>
      <c r="M216" s="107">
        <v>1.0</v>
      </c>
      <c r="N216" s="107">
        <v>0.0</v>
      </c>
      <c r="O216" s="107">
        <v>0.0</v>
      </c>
      <c r="P216" s="107">
        <v>0.0</v>
      </c>
      <c r="Q216" s="107">
        <v>0.0</v>
      </c>
      <c r="R216" s="107">
        <v>0.0</v>
      </c>
      <c r="S216" s="107">
        <v>0.0</v>
      </c>
      <c r="T216" s="107">
        <v>0.0</v>
      </c>
      <c r="U216" s="107">
        <v>0.0</v>
      </c>
      <c r="V216" s="107">
        <v>1.0</v>
      </c>
      <c r="W216" s="107">
        <v>0.0</v>
      </c>
      <c r="X216" s="108">
        <v>1.0</v>
      </c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ht="15.75" customHeight="1">
      <c r="A217" s="109">
        <v>17.0</v>
      </c>
      <c r="B217" s="110">
        <v>45830.0</v>
      </c>
      <c r="C217" s="111">
        <v>0.7083333333333334</v>
      </c>
      <c r="D217" s="112" t="s">
        <v>58</v>
      </c>
      <c r="E217" s="112" t="s">
        <v>66</v>
      </c>
      <c r="F217" s="112" t="s">
        <v>36</v>
      </c>
      <c r="G217" s="114">
        <v>12.0</v>
      </c>
      <c r="H217" s="115">
        <f t="shared" si="61"/>
        <v>3</v>
      </c>
      <c r="I217" s="116">
        <f t="shared" si="62"/>
        <v>3</v>
      </c>
      <c r="J217" s="116">
        <f t="shared" si="63"/>
        <v>1</v>
      </c>
      <c r="K217" s="117">
        <v>1.0</v>
      </c>
      <c r="L217" s="118">
        <v>0.0</v>
      </c>
      <c r="M217" s="118">
        <v>0.0</v>
      </c>
      <c r="N217" s="118">
        <v>0.0</v>
      </c>
      <c r="O217" s="118">
        <v>0.0</v>
      </c>
      <c r="P217" s="118">
        <v>0.0</v>
      </c>
      <c r="Q217" s="118">
        <v>0.0</v>
      </c>
      <c r="R217" s="118">
        <v>0.0</v>
      </c>
      <c r="S217" s="118">
        <v>0.0</v>
      </c>
      <c r="T217" s="118">
        <v>0.0</v>
      </c>
      <c r="U217" s="118">
        <v>1.0</v>
      </c>
      <c r="V217" s="118">
        <v>1.0</v>
      </c>
      <c r="W217" s="118">
        <v>0.0</v>
      </c>
      <c r="X217" s="119">
        <v>0.0</v>
      </c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ht="15.75" customHeight="1">
      <c r="A218" s="98">
        <v>17.0</v>
      </c>
      <c r="B218" s="99">
        <v>45830.0</v>
      </c>
      <c r="C218" s="100">
        <v>0.7083333333333334</v>
      </c>
      <c r="D218" s="101" t="s">
        <v>58</v>
      </c>
      <c r="E218" s="101" t="s">
        <v>66</v>
      </c>
      <c r="F218" s="102" t="s">
        <v>40</v>
      </c>
      <c r="G218" s="103">
        <v>13.0</v>
      </c>
      <c r="H218" s="104">
        <f t="shared" si="61"/>
        <v>3</v>
      </c>
      <c r="I218" s="105">
        <f t="shared" si="62"/>
        <v>3</v>
      </c>
      <c r="J218" s="105">
        <f t="shared" si="63"/>
        <v>0</v>
      </c>
      <c r="K218" s="106">
        <v>0.0</v>
      </c>
      <c r="L218" s="107">
        <v>0.0</v>
      </c>
      <c r="M218" s="107">
        <v>0.0</v>
      </c>
      <c r="N218" s="107">
        <v>0.0</v>
      </c>
      <c r="O218" s="107">
        <v>0.0</v>
      </c>
      <c r="P218" s="107">
        <v>0.0</v>
      </c>
      <c r="Q218" s="107">
        <v>0.0</v>
      </c>
      <c r="R218" s="107">
        <v>0.0</v>
      </c>
      <c r="S218" s="107">
        <v>0.0</v>
      </c>
      <c r="T218" s="107">
        <v>0.0</v>
      </c>
      <c r="U218" s="107">
        <v>0.0</v>
      </c>
      <c r="V218" s="107">
        <v>3.0</v>
      </c>
      <c r="W218" s="107">
        <v>0.0</v>
      </c>
      <c r="X218" s="108">
        <v>0.0</v>
      </c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ht="15.75" customHeight="1">
      <c r="A219" s="121">
        <v>17.0</v>
      </c>
      <c r="B219" s="122">
        <v>45830.0</v>
      </c>
      <c r="C219" s="123">
        <v>0.7083333333333334</v>
      </c>
      <c r="D219" s="124" t="s">
        <v>58</v>
      </c>
      <c r="E219" s="124" t="s">
        <v>66</v>
      </c>
      <c r="F219" s="124" t="s">
        <v>44</v>
      </c>
      <c r="G219" s="125"/>
      <c r="H219" s="126">
        <f t="shared" si="61"/>
        <v>39</v>
      </c>
      <c r="I219" s="127">
        <f t="shared" si="62"/>
        <v>35</v>
      </c>
      <c r="J219" s="127">
        <f t="shared" si="63"/>
        <v>20</v>
      </c>
      <c r="K219" s="126">
        <f t="shared" ref="K219:X219" si="65">SUBTOTAL(109,K206:K218)</f>
        <v>13</v>
      </c>
      <c r="L219" s="127">
        <f t="shared" si="65"/>
        <v>3</v>
      </c>
      <c r="M219" s="127">
        <f t="shared" si="65"/>
        <v>2</v>
      </c>
      <c r="N219" s="127">
        <f t="shared" si="65"/>
        <v>0</v>
      </c>
      <c r="O219" s="127">
        <f t="shared" si="65"/>
        <v>2</v>
      </c>
      <c r="P219" s="127">
        <f t="shared" si="65"/>
        <v>1</v>
      </c>
      <c r="Q219" s="127">
        <f t="shared" si="65"/>
        <v>3</v>
      </c>
      <c r="R219" s="127">
        <f t="shared" si="65"/>
        <v>1</v>
      </c>
      <c r="S219" s="127">
        <f t="shared" si="65"/>
        <v>0</v>
      </c>
      <c r="T219" s="127">
        <f t="shared" si="65"/>
        <v>1</v>
      </c>
      <c r="U219" s="127">
        <f t="shared" si="65"/>
        <v>2</v>
      </c>
      <c r="V219" s="127">
        <f t="shared" si="65"/>
        <v>11</v>
      </c>
      <c r="W219" s="127">
        <f t="shared" si="65"/>
        <v>14</v>
      </c>
      <c r="X219" s="128">
        <f t="shared" si="65"/>
        <v>14</v>
      </c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ht="15.75" customHeight="1">
      <c r="A220" s="98">
        <v>18.0</v>
      </c>
      <c r="B220" s="129">
        <v>45830.0</v>
      </c>
      <c r="C220" s="100">
        <v>0.7708333333333334</v>
      </c>
      <c r="D220" s="102" t="s">
        <v>58</v>
      </c>
      <c r="E220" s="101" t="s">
        <v>63</v>
      </c>
      <c r="F220" s="102" t="s">
        <v>26</v>
      </c>
      <c r="G220" s="103">
        <v>1.0</v>
      </c>
      <c r="H220" s="104">
        <f t="shared" si="61"/>
        <v>4</v>
      </c>
      <c r="I220" s="105">
        <f t="shared" si="62"/>
        <v>4</v>
      </c>
      <c r="J220" s="105">
        <f t="shared" si="63"/>
        <v>2</v>
      </c>
      <c r="K220" s="106">
        <v>1.0</v>
      </c>
      <c r="L220" s="107">
        <v>1.0</v>
      </c>
      <c r="M220" s="107">
        <v>0.0</v>
      </c>
      <c r="N220" s="107">
        <v>0.0</v>
      </c>
      <c r="O220" s="107">
        <v>0.0</v>
      </c>
      <c r="P220" s="107">
        <v>0.0</v>
      </c>
      <c r="Q220" s="107">
        <v>0.0</v>
      </c>
      <c r="R220" s="107">
        <v>0.0</v>
      </c>
      <c r="S220" s="107">
        <v>0.0</v>
      </c>
      <c r="T220" s="107">
        <v>0.0</v>
      </c>
      <c r="U220" s="107">
        <v>1.0</v>
      </c>
      <c r="V220" s="107">
        <v>1.0</v>
      </c>
      <c r="W220" s="107">
        <v>2.0</v>
      </c>
      <c r="X220" s="108">
        <v>2.0</v>
      </c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ht="15.75" customHeight="1">
      <c r="A221" s="109">
        <v>18.0</v>
      </c>
      <c r="B221" s="130">
        <v>45830.0</v>
      </c>
      <c r="C221" s="111">
        <v>0.7708333333333334</v>
      </c>
      <c r="D221" s="113" t="s">
        <v>58</v>
      </c>
      <c r="E221" s="112" t="s">
        <v>63</v>
      </c>
      <c r="F221" s="113" t="s">
        <v>25</v>
      </c>
      <c r="G221" s="114">
        <v>2.0</v>
      </c>
      <c r="H221" s="115">
        <f t="shared" si="61"/>
        <v>4</v>
      </c>
      <c r="I221" s="116">
        <f t="shared" si="62"/>
        <v>4</v>
      </c>
      <c r="J221" s="116">
        <f t="shared" si="63"/>
        <v>2</v>
      </c>
      <c r="K221" s="117">
        <v>2.0</v>
      </c>
      <c r="L221" s="118">
        <v>0.0</v>
      </c>
      <c r="M221" s="118">
        <v>0.0</v>
      </c>
      <c r="N221" s="118">
        <v>0.0</v>
      </c>
      <c r="O221" s="118">
        <v>0.0</v>
      </c>
      <c r="P221" s="118">
        <v>0.0</v>
      </c>
      <c r="Q221" s="118">
        <v>0.0</v>
      </c>
      <c r="R221" s="118">
        <v>0.0</v>
      </c>
      <c r="S221" s="118">
        <v>0.0</v>
      </c>
      <c r="T221" s="118">
        <v>0.0</v>
      </c>
      <c r="U221" s="118">
        <v>1.0</v>
      </c>
      <c r="V221" s="118">
        <v>1.0</v>
      </c>
      <c r="W221" s="118">
        <v>1.0</v>
      </c>
      <c r="X221" s="119">
        <v>1.0</v>
      </c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ht="15.75" customHeight="1">
      <c r="A222" s="98">
        <v>18.0</v>
      </c>
      <c r="B222" s="129">
        <v>45830.0</v>
      </c>
      <c r="C222" s="100">
        <v>0.7708333333333334</v>
      </c>
      <c r="D222" s="102" t="s">
        <v>58</v>
      </c>
      <c r="E222" s="101" t="s">
        <v>63</v>
      </c>
      <c r="F222" s="102" t="s">
        <v>32</v>
      </c>
      <c r="G222" s="103">
        <v>3.0</v>
      </c>
      <c r="H222" s="104">
        <f t="shared" si="61"/>
        <v>4</v>
      </c>
      <c r="I222" s="105">
        <f t="shared" si="62"/>
        <v>4</v>
      </c>
      <c r="J222" s="105">
        <f t="shared" si="63"/>
        <v>2</v>
      </c>
      <c r="K222" s="106">
        <v>0.0</v>
      </c>
      <c r="L222" s="107">
        <v>0.0</v>
      </c>
      <c r="M222" s="107">
        <v>0.0</v>
      </c>
      <c r="N222" s="107">
        <v>0.0</v>
      </c>
      <c r="O222" s="107">
        <v>2.0</v>
      </c>
      <c r="P222" s="107">
        <v>0.0</v>
      </c>
      <c r="Q222" s="107">
        <v>0.0</v>
      </c>
      <c r="R222" s="107">
        <v>0.0</v>
      </c>
      <c r="S222" s="107">
        <v>0.0</v>
      </c>
      <c r="T222" s="107">
        <v>0.0</v>
      </c>
      <c r="U222" s="107">
        <v>1.0</v>
      </c>
      <c r="V222" s="107">
        <v>1.0</v>
      </c>
      <c r="W222" s="107">
        <v>2.0</v>
      </c>
      <c r="X222" s="108">
        <v>3.0</v>
      </c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ht="15.75" customHeight="1">
      <c r="A223" s="109">
        <v>18.0</v>
      </c>
      <c r="B223" s="130">
        <v>45830.0</v>
      </c>
      <c r="C223" s="111">
        <v>0.7708333333333334</v>
      </c>
      <c r="D223" s="113" t="s">
        <v>58</v>
      </c>
      <c r="E223" s="112" t="s">
        <v>63</v>
      </c>
      <c r="F223" s="113" t="s">
        <v>30</v>
      </c>
      <c r="G223" s="114">
        <v>4.0</v>
      </c>
      <c r="H223" s="115">
        <f t="shared" si="61"/>
        <v>4</v>
      </c>
      <c r="I223" s="116">
        <f t="shared" si="62"/>
        <v>3</v>
      </c>
      <c r="J223" s="116">
        <f t="shared" si="63"/>
        <v>1</v>
      </c>
      <c r="K223" s="117">
        <v>1.0</v>
      </c>
      <c r="L223" s="118">
        <v>0.0</v>
      </c>
      <c r="M223" s="118">
        <v>0.0</v>
      </c>
      <c r="N223" s="118">
        <v>0.0</v>
      </c>
      <c r="O223" s="118">
        <v>0.0</v>
      </c>
      <c r="P223" s="118">
        <v>0.0</v>
      </c>
      <c r="Q223" s="118">
        <v>1.0</v>
      </c>
      <c r="R223" s="118">
        <v>0.0</v>
      </c>
      <c r="S223" s="118">
        <v>0.0</v>
      </c>
      <c r="T223" s="118">
        <v>0.0</v>
      </c>
      <c r="U223" s="118">
        <v>0.0</v>
      </c>
      <c r="V223" s="118">
        <v>2.0</v>
      </c>
      <c r="W223" s="118">
        <v>1.0</v>
      </c>
      <c r="X223" s="119">
        <v>0.0</v>
      </c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ht="15.75" customHeight="1">
      <c r="A224" s="98">
        <v>18.0</v>
      </c>
      <c r="B224" s="129">
        <v>45830.0</v>
      </c>
      <c r="C224" s="100">
        <v>0.7708333333333334</v>
      </c>
      <c r="D224" s="102" t="s">
        <v>58</v>
      </c>
      <c r="E224" s="112" t="s">
        <v>63</v>
      </c>
      <c r="F224" s="102" t="s">
        <v>33</v>
      </c>
      <c r="G224" s="103">
        <v>5.0</v>
      </c>
      <c r="H224" s="104">
        <f t="shared" si="61"/>
        <v>4</v>
      </c>
      <c r="I224" s="105">
        <f t="shared" si="62"/>
        <v>4</v>
      </c>
      <c r="J224" s="105">
        <f t="shared" si="63"/>
        <v>2</v>
      </c>
      <c r="K224" s="106">
        <v>2.0</v>
      </c>
      <c r="L224" s="107">
        <v>0.0</v>
      </c>
      <c r="M224" s="107">
        <v>0.0</v>
      </c>
      <c r="N224" s="107">
        <v>0.0</v>
      </c>
      <c r="O224" s="107">
        <v>0.0</v>
      </c>
      <c r="P224" s="107">
        <v>0.0</v>
      </c>
      <c r="Q224" s="107">
        <v>0.0</v>
      </c>
      <c r="R224" s="107">
        <v>0.0</v>
      </c>
      <c r="S224" s="107">
        <v>0.0</v>
      </c>
      <c r="T224" s="107">
        <v>0.0</v>
      </c>
      <c r="U224" s="107">
        <v>0.0</v>
      </c>
      <c r="V224" s="107">
        <v>2.0</v>
      </c>
      <c r="W224" s="107">
        <v>1.0</v>
      </c>
      <c r="X224" s="108">
        <v>1.0</v>
      </c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ht="15.75" customHeight="1">
      <c r="A225" s="109">
        <v>18.0</v>
      </c>
      <c r="B225" s="129">
        <v>45830.0</v>
      </c>
      <c r="C225" s="111">
        <v>0.7708333333333334</v>
      </c>
      <c r="D225" s="102" t="s">
        <v>58</v>
      </c>
      <c r="E225" s="101" t="s">
        <v>63</v>
      </c>
      <c r="F225" s="102" t="s">
        <v>37</v>
      </c>
      <c r="G225" s="114">
        <v>6.0</v>
      </c>
      <c r="H225" s="104">
        <f t="shared" si="61"/>
        <v>4</v>
      </c>
      <c r="I225" s="105">
        <f t="shared" si="62"/>
        <v>3</v>
      </c>
      <c r="J225" s="105">
        <f t="shared" si="63"/>
        <v>2</v>
      </c>
      <c r="K225" s="106">
        <v>2.0</v>
      </c>
      <c r="L225" s="107">
        <v>0.0</v>
      </c>
      <c r="M225" s="107">
        <v>0.0</v>
      </c>
      <c r="N225" s="107">
        <v>0.0</v>
      </c>
      <c r="O225" s="107">
        <v>0.0</v>
      </c>
      <c r="P225" s="107">
        <v>0.0</v>
      </c>
      <c r="Q225" s="107">
        <v>1.0</v>
      </c>
      <c r="R225" s="107">
        <v>0.0</v>
      </c>
      <c r="S225" s="107">
        <v>0.0</v>
      </c>
      <c r="T225" s="107">
        <v>0.0</v>
      </c>
      <c r="U225" s="107">
        <v>0.0</v>
      </c>
      <c r="V225" s="107">
        <v>1.0</v>
      </c>
      <c r="W225" s="107">
        <v>1.0</v>
      </c>
      <c r="X225" s="108">
        <v>0.0</v>
      </c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ht="15.75" customHeight="1">
      <c r="A226" s="98">
        <v>18.0</v>
      </c>
      <c r="B226" s="130">
        <v>45830.0</v>
      </c>
      <c r="C226" s="100">
        <v>0.7708333333333334</v>
      </c>
      <c r="D226" s="113" t="s">
        <v>58</v>
      </c>
      <c r="E226" s="112" t="s">
        <v>63</v>
      </c>
      <c r="F226" s="112" t="s">
        <v>35</v>
      </c>
      <c r="G226" s="103">
        <v>7.0</v>
      </c>
      <c r="H226" s="115">
        <f t="shared" si="61"/>
        <v>4</v>
      </c>
      <c r="I226" s="116">
        <f t="shared" si="62"/>
        <v>4</v>
      </c>
      <c r="J226" s="116">
        <f t="shared" si="63"/>
        <v>3</v>
      </c>
      <c r="K226" s="117">
        <v>2.0</v>
      </c>
      <c r="L226" s="118">
        <v>1.0</v>
      </c>
      <c r="M226" s="118">
        <v>0.0</v>
      </c>
      <c r="N226" s="118">
        <v>0.0</v>
      </c>
      <c r="O226" s="118">
        <v>0.0</v>
      </c>
      <c r="P226" s="118">
        <v>0.0</v>
      </c>
      <c r="Q226" s="118">
        <v>0.0</v>
      </c>
      <c r="R226" s="118">
        <v>0.0</v>
      </c>
      <c r="S226" s="118">
        <v>0.0</v>
      </c>
      <c r="T226" s="118">
        <v>0.0</v>
      </c>
      <c r="U226" s="118">
        <v>0.0</v>
      </c>
      <c r="V226" s="118">
        <v>1.0</v>
      </c>
      <c r="W226" s="118">
        <v>2.0</v>
      </c>
      <c r="X226" s="119">
        <v>3.0</v>
      </c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ht="15.75" customHeight="1">
      <c r="A227" s="109">
        <v>18.0</v>
      </c>
      <c r="B227" s="129">
        <v>45830.0</v>
      </c>
      <c r="C227" s="111">
        <v>0.7708333333333334</v>
      </c>
      <c r="D227" s="102" t="s">
        <v>58</v>
      </c>
      <c r="E227" s="112" t="s">
        <v>63</v>
      </c>
      <c r="F227" s="101" t="s">
        <v>27</v>
      </c>
      <c r="G227" s="114">
        <v>8.0</v>
      </c>
      <c r="H227" s="104">
        <f t="shared" si="61"/>
        <v>3</v>
      </c>
      <c r="I227" s="105">
        <f t="shared" si="62"/>
        <v>3</v>
      </c>
      <c r="J227" s="105">
        <f t="shared" si="63"/>
        <v>1</v>
      </c>
      <c r="K227" s="106">
        <v>1.0</v>
      </c>
      <c r="L227" s="107">
        <v>0.0</v>
      </c>
      <c r="M227" s="107">
        <v>0.0</v>
      </c>
      <c r="N227" s="107">
        <v>0.0</v>
      </c>
      <c r="O227" s="107">
        <v>0.0</v>
      </c>
      <c r="P227" s="107">
        <v>0.0</v>
      </c>
      <c r="Q227" s="107">
        <v>0.0</v>
      </c>
      <c r="R227" s="107">
        <v>0.0</v>
      </c>
      <c r="S227" s="107">
        <v>0.0</v>
      </c>
      <c r="T227" s="107">
        <v>0.0</v>
      </c>
      <c r="U227" s="107">
        <v>0.0</v>
      </c>
      <c r="V227" s="107">
        <v>2.0</v>
      </c>
      <c r="W227" s="107">
        <v>0.0</v>
      </c>
      <c r="X227" s="108">
        <v>0.0</v>
      </c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ht="15.75" customHeight="1">
      <c r="A228" s="98">
        <v>18.0</v>
      </c>
      <c r="B228" s="130">
        <v>45830.0</v>
      </c>
      <c r="C228" s="100">
        <v>0.7708333333333334</v>
      </c>
      <c r="D228" s="113" t="s">
        <v>58</v>
      </c>
      <c r="E228" s="101" t="s">
        <v>63</v>
      </c>
      <c r="F228" s="113" t="s">
        <v>38</v>
      </c>
      <c r="G228" s="103">
        <v>9.0</v>
      </c>
      <c r="H228" s="115">
        <f t="shared" si="61"/>
        <v>3</v>
      </c>
      <c r="I228" s="116">
        <f t="shared" si="62"/>
        <v>3</v>
      </c>
      <c r="J228" s="116">
        <f t="shared" si="63"/>
        <v>1</v>
      </c>
      <c r="K228" s="117">
        <v>1.0</v>
      </c>
      <c r="L228" s="118">
        <v>0.0</v>
      </c>
      <c r="M228" s="118">
        <v>0.0</v>
      </c>
      <c r="N228" s="118">
        <v>0.0</v>
      </c>
      <c r="O228" s="118">
        <v>0.0</v>
      </c>
      <c r="P228" s="118">
        <v>1.0</v>
      </c>
      <c r="Q228" s="118">
        <v>0.0</v>
      </c>
      <c r="R228" s="118">
        <v>0.0</v>
      </c>
      <c r="S228" s="118">
        <v>0.0</v>
      </c>
      <c r="T228" s="118">
        <v>0.0</v>
      </c>
      <c r="U228" s="118">
        <v>0.0</v>
      </c>
      <c r="V228" s="118">
        <v>1.0</v>
      </c>
      <c r="W228" s="118">
        <v>1.0</v>
      </c>
      <c r="X228" s="119">
        <v>2.0</v>
      </c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ht="15.75" customHeight="1">
      <c r="A229" s="109">
        <v>18.0</v>
      </c>
      <c r="B229" s="129">
        <v>45830.0</v>
      </c>
      <c r="C229" s="111">
        <v>0.7708333333333334</v>
      </c>
      <c r="D229" s="102" t="s">
        <v>58</v>
      </c>
      <c r="E229" s="112" t="s">
        <v>63</v>
      </c>
      <c r="F229" s="102" t="s">
        <v>34</v>
      </c>
      <c r="G229" s="114">
        <v>10.0</v>
      </c>
      <c r="H229" s="104">
        <f t="shared" si="61"/>
        <v>3</v>
      </c>
      <c r="I229" s="105">
        <f t="shared" si="62"/>
        <v>3</v>
      </c>
      <c r="J229" s="105">
        <f t="shared" si="63"/>
        <v>1</v>
      </c>
      <c r="K229" s="106">
        <v>1.0</v>
      </c>
      <c r="L229" s="107">
        <v>0.0</v>
      </c>
      <c r="M229" s="107">
        <v>0.0</v>
      </c>
      <c r="N229" s="107">
        <v>0.0</v>
      </c>
      <c r="O229" s="107">
        <v>0.0</v>
      </c>
      <c r="P229" s="107">
        <v>0.0</v>
      </c>
      <c r="Q229" s="107">
        <v>0.0</v>
      </c>
      <c r="R229" s="107">
        <v>0.0</v>
      </c>
      <c r="S229" s="107">
        <v>0.0</v>
      </c>
      <c r="T229" s="107">
        <v>0.0</v>
      </c>
      <c r="U229" s="107">
        <v>1.0</v>
      </c>
      <c r="V229" s="107">
        <v>1.0</v>
      </c>
      <c r="W229" s="107">
        <v>1.0</v>
      </c>
      <c r="X229" s="108">
        <v>1.0</v>
      </c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ht="15.75" customHeight="1">
      <c r="A230" s="98">
        <v>18.0</v>
      </c>
      <c r="B230" s="130">
        <v>45830.0</v>
      </c>
      <c r="C230" s="100">
        <v>0.7708333333333334</v>
      </c>
      <c r="D230" s="113" t="s">
        <v>58</v>
      </c>
      <c r="E230" s="112" t="s">
        <v>63</v>
      </c>
      <c r="F230" s="113" t="s">
        <v>36</v>
      </c>
      <c r="G230" s="103">
        <v>11.0</v>
      </c>
      <c r="H230" s="115">
        <f t="shared" si="61"/>
        <v>3</v>
      </c>
      <c r="I230" s="116">
        <f t="shared" si="62"/>
        <v>2</v>
      </c>
      <c r="J230" s="116">
        <f t="shared" si="63"/>
        <v>1</v>
      </c>
      <c r="K230" s="117">
        <v>1.0</v>
      </c>
      <c r="L230" s="118">
        <v>0.0</v>
      </c>
      <c r="M230" s="118">
        <v>0.0</v>
      </c>
      <c r="N230" s="118">
        <v>0.0</v>
      </c>
      <c r="O230" s="118">
        <v>0.0</v>
      </c>
      <c r="P230" s="118">
        <v>0.0</v>
      </c>
      <c r="Q230" s="118">
        <v>1.0</v>
      </c>
      <c r="R230" s="118">
        <v>0.0</v>
      </c>
      <c r="S230" s="118">
        <v>0.0</v>
      </c>
      <c r="T230" s="118">
        <v>0.0</v>
      </c>
      <c r="U230" s="118">
        <v>1.0</v>
      </c>
      <c r="V230" s="118">
        <v>0.0</v>
      </c>
      <c r="W230" s="118">
        <v>1.0</v>
      </c>
      <c r="X230" s="119">
        <v>0.0</v>
      </c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ht="15.75" customHeight="1">
      <c r="A231" s="109">
        <v>18.0</v>
      </c>
      <c r="B231" s="129">
        <v>45830.0</v>
      </c>
      <c r="C231" s="111">
        <v>0.7708333333333334</v>
      </c>
      <c r="D231" s="102" t="s">
        <v>58</v>
      </c>
      <c r="E231" s="101" t="s">
        <v>63</v>
      </c>
      <c r="F231" s="102" t="s">
        <v>40</v>
      </c>
      <c r="G231" s="114">
        <v>12.0</v>
      </c>
      <c r="H231" s="104">
        <f t="shared" si="61"/>
        <v>3</v>
      </c>
      <c r="I231" s="105">
        <f t="shared" si="62"/>
        <v>2</v>
      </c>
      <c r="J231" s="105">
        <f t="shared" si="63"/>
        <v>1</v>
      </c>
      <c r="K231" s="106">
        <v>1.0</v>
      </c>
      <c r="L231" s="107">
        <v>0.0</v>
      </c>
      <c r="M231" s="107">
        <v>0.0</v>
      </c>
      <c r="N231" s="107">
        <v>0.0</v>
      </c>
      <c r="O231" s="107">
        <v>0.0</v>
      </c>
      <c r="P231" s="107">
        <v>0.0</v>
      </c>
      <c r="Q231" s="107">
        <v>1.0</v>
      </c>
      <c r="R231" s="107">
        <v>0.0</v>
      </c>
      <c r="S231" s="107">
        <v>0.0</v>
      </c>
      <c r="T231" s="107">
        <v>0.0</v>
      </c>
      <c r="U231" s="107">
        <v>0.0</v>
      </c>
      <c r="V231" s="107">
        <v>1.0</v>
      </c>
      <c r="W231" s="107">
        <v>1.0</v>
      </c>
      <c r="X231" s="108">
        <v>1.0</v>
      </c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ht="15.75" customHeight="1">
      <c r="A232" s="121">
        <v>18.0</v>
      </c>
      <c r="B232" s="122">
        <v>45830.0</v>
      </c>
      <c r="C232" s="123">
        <v>0.7708333333333334</v>
      </c>
      <c r="D232" s="124" t="s">
        <v>58</v>
      </c>
      <c r="E232" s="124" t="s">
        <v>63</v>
      </c>
      <c r="F232" s="124" t="s">
        <v>44</v>
      </c>
      <c r="G232" s="125"/>
      <c r="H232" s="126">
        <f t="shared" si="61"/>
        <v>43</v>
      </c>
      <c r="I232" s="127">
        <f t="shared" si="62"/>
        <v>39</v>
      </c>
      <c r="J232" s="127">
        <f t="shared" si="63"/>
        <v>19</v>
      </c>
      <c r="K232" s="126">
        <f t="shared" ref="K232:X232" si="66">SUBTOTAL(109,K220:K231)</f>
        <v>15</v>
      </c>
      <c r="L232" s="127">
        <f t="shared" si="66"/>
        <v>2</v>
      </c>
      <c r="M232" s="127">
        <f t="shared" si="66"/>
        <v>0</v>
      </c>
      <c r="N232" s="127">
        <f t="shared" si="66"/>
        <v>0</v>
      </c>
      <c r="O232" s="127">
        <f t="shared" si="66"/>
        <v>2</v>
      </c>
      <c r="P232" s="127">
        <f t="shared" si="66"/>
        <v>1</v>
      </c>
      <c r="Q232" s="127">
        <f t="shared" si="66"/>
        <v>4</v>
      </c>
      <c r="R232" s="127">
        <f t="shared" si="66"/>
        <v>0</v>
      </c>
      <c r="S232" s="127">
        <f t="shared" si="66"/>
        <v>0</v>
      </c>
      <c r="T232" s="127">
        <f t="shared" si="66"/>
        <v>0</v>
      </c>
      <c r="U232" s="127">
        <f t="shared" si="66"/>
        <v>5</v>
      </c>
      <c r="V232" s="127">
        <f t="shared" si="66"/>
        <v>14</v>
      </c>
      <c r="W232" s="127">
        <f t="shared" si="66"/>
        <v>14</v>
      </c>
      <c r="X232" s="128">
        <f t="shared" si="66"/>
        <v>14</v>
      </c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ht="15.75" customHeight="1">
      <c r="A233" s="109">
        <v>19.0</v>
      </c>
      <c r="B233" s="110">
        <v>45833.0</v>
      </c>
      <c r="C233" s="111">
        <v>0.8333333333333334</v>
      </c>
      <c r="D233" s="112" t="s">
        <v>54</v>
      </c>
      <c r="E233" s="112" t="s">
        <v>57</v>
      </c>
      <c r="F233" s="112" t="s">
        <v>28</v>
      </c>
      <c r="G233" s="118">
        <v>1.0</v>
      </c>
      <c r="H233" s="115">
        <f t="shared" si="61"/>
        <v>5</v>
      </c>
      <c r="I233" s="116">
        <f t="shared" si="62"/>
        <v>4</v>
      </c>
      <c r="J233" s="116">
        <f t="shared" si="63"/>
        <v>2</v>
      </c>
      <c r="K233" s="117">
        <v>2.0</v>
      </c>
      <c r="L233" s="118">
        <v>0.0</v>
      </c>
      <c r="M233" s="118">
        <v>0.0</v>
      </c>
      <c r="N233" s="118">
        <v>0.0</v>
      </c>
      <c r="O233" s="118">
        <v>0.0</v>
      </c>
      <c r="P233" s="118">
        <v>1.0</v>
      </c>
      <c r="Q233" s="118">
        <v>1.0</v>
      </c>
      <c r="R233" s="118">
        <v>0.0</v>
      </c>
      <c r="S233" s="118">
        <v>0.0</v>
      </c>
      <c r="T233" s="118">
        <v>0.0</v>
      </c>
      <c r="U233" s="118">
        <v>0.0</v>
      </c>
      <c r="V233" s="118">
        <v>1.0</v>
      </c>
      <c r="W233" s="118">
        <v>2.0</v>
      </c>
      <c r="X233" s="119">
        <v>1.0</v>
      </c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ht="15.75" customHeight="1">
      <c r="A234" s="98">
        <v>19.0</v>
      </c>
      <c r="B234" s="99">
        <v>45833.0</v>
      </c>
      <c r="C234" s="100">
        <v>0.8333333333333334</v>
      </c>
      <c r="D234" s="101" t="s">
        <v>54</v>
      </c>
      <c r="E234" s="101" t="s">
        <v>57</v>
      </c>
      <c r="F234" s="102" t="s">
        <v>32</v>
      </c>
      <c r="G234" s="107">
        <v>2.0</v>
      </c>
      <c r="H234" s="104">
        <f t="shared" si="61"/>
        <v>5</v>
      </c>
      <c r="I234" s="105">
        <f t="shared" si="62"/>
        <v>5</v>
      </c>
      <c r="J234" s="105">
        <f t="shared" si="63"/>
        <v>4</v>
      </c>
      <c r="K234" s="106">
        <v>2.0</v>
      </c>
      <c r="L234" s="107">
        <v>2.0</v>
      </c>
      <c r="M234" s="107">
        <v>0.0</v>
      </c>
      <c r="N234" s="107">
        <v>0.0</v>
      </c>
      <c r="O234" s="107">
        <v>0.0</v>
      </c>
      <c r="P234" s="107">
        <v>0.0</v>
      </c>
      <c r="Q234" s="107">
        <v>0.0</v>
      </c>
      <c r="R234" s="107">
        <v>0.0</v>
      </c>
      <c r="S234" s="107">
        <v>0.0</v>
      </c>
      <c r="T234" s="107">
        <v>0.0</v>
      </c>
      <c r="U234" s="107">
        <v>0.0</v>
      </c>
      <c r="V234" s="107">
        <v>1.0</v>
      </c>
      <c r="W234" s="107">
        <v>2.0</v>
      </c>
      <c r="X234" s="108">
        <v>2.0</v>
      </c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ht="15.75" customHeight="1">
      <c r="A235" s="109">
        <v>19.0</v>
      </c>
      <c r="B235" s="110">
        <v>45833.0</v>
      </c>
      <c r="C235" s="111">
        <v>0.8333333333333334</v>
      </c>
      <c r="D235" s="112" t="s">
        <v>54</v>
      </c>
      <c r="E235" s="112" t="s">
        <v>57</v>
      </c>
      <c r="F235" s="112" t="s">
        <v>33</v>
      </c>
      <c r="G235" s="118">
        <v>3.0</v>
      </c>
      <c r="H235" s="115">
        <f t="shared" si="61"/>
        <v>5</v>
      </c>
      <c r="I235" s="116">
        <f t="shared" si="62"/>
        <v>5</v>
      </c>
      <c r="J235" s="116">
        <f t="shared" si="63"/>
        <v>3</v>
      </c>
      <c r="K235" s="117">
        <v>1.0</v>
      </c>
      <c r="L235" s="118">
        <v>2.0</v>
      </c>
      <c r="M235" s="118">
        <v>0.0</v>
      </c>
      <c r="N235" s="118">
        <v>0.0</v>
      </c>
      <c r="O235" s="118">
        <v>0.0</v>
      </c>
      <c r="P235" s="118">
        <v>0.0</v>
      </c>
      <c r="Q235" s="118">
        <v>0.0</v>
      </c>
      <c r="R235" s="118">
        <v>0.0</v>
      </c>
      <c r="S235" s="118">
        <v>0.0</v>
      </c>
      <c r="T235" s="118">
        <v>0.0</v>
      </c>
      <c r="U235" s="118">
        <v>0.0</v>
      </c>
      <c r="V235" s="118">
        <v>2.0</v>
      </c>
      <c r="W235" s="118">
        <v>1.0</v>
      </c>
      <c r="X235" s="119">
        <v>2.0</v>
      </c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ht="15.75" customHeight="1">
      <c r="A236" s="98">
        <v>19.0</v>
      </c>
      <c r="B236" s="99">
        <v>45833.0</v>
      </c>
      <c r="C236" s="100">
        <v>0.8333333333333334</v>
      </c>
      <c r="D236" s="101" t="s">
        <v>54</v>
      </c>
      <c r="E236" s="101" t="s">
        <v>57</v>
      </c>
      <c r="F236" s="101" t="s">
        <v>30</v>
      </c>
      <c r="G236" s="107">
        <v>4.0</v>
      </c>
      <c r="H236" s="104">
        <f t="shared" si="61"/>
        <v>5</v>
      </c>
      <c r="I236" s="105">
        <f t="shared" si="62"/>
        <v>5</v>
      </c>
      <c r="J236" s="105">
        <f t="shared" si="63"/>
        <v>3</v>
      </c>
      <c r="K236" s="106">
        <v>2.0</v>
      </c>
      <c r="L236" s="107">
        <v>1.0</v>
      </c>
      <c r="M236" s="107">
        <v>0.0</v>
      </c>
      <c r="N236" s="107">
        <v>0.0</v>
      </c>
      <c r="O236" s="107">
        <v>0.0</v>
      </c>
      <c r="P236" s="107">
        <v>1.0</v>
      </c>
      <c r="Q236" s="107">
        <v>0.0</v>
      </c>
      <c r="R236" s="107">
        <v>0.0</v>
      </c>
      <c r="S236" s="107">
        <v>0.0</v>
      </c>
      <c r="T236" s="107">
        <v>0.0</v>
      </c>
      <c r="U236" s="107">
        <v>0.0</v>
      </c>
      <c r="V236" s="107">
        <v>1.0</v>
      </c>
      <c r="W236" s="107">
        <v>3.0</v>
      </c>
      <c r="X236" s="108">
        <v>0.0</v>
      </c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ht="15.75" customHeight="1">
      <c r="A237" s="109">
        <v>19.0</v>
      </c>
      <c r="B237" s="110">
        <v>45833.0</v>
      </c>
      <c r="C237" s="111">
        <v>0.8333333333333334</v>
      </c>
      <c r="D237" s="112" t="s">
        <v>54</v>
      </c>
      <c r="E237" s="112" t="s">
        <v>57</v>
      </c>
      <c r="F237" s="102" t="s">
        <v>37</v>
      </c>
      <c r="G237" s="118">
        <v>5.0</v>
      </c>
      <c r="H237" s="104">
        <f t="shared" si="61"/>
        <v>4</v>
      </c>
      <c r="I237" s="105">
        <f t="shared" si="62"/>
        <v>4</v>
      </c>
      <c r="J237" s="105">
        <f t="shared" si="63"/>
        <v>2</v>
      </c>
      <c r="K237" s="106">
        <v>1.0</v>
      </c>
      <c r="L237" s="107">
        <v>1.0</v>
      </c>
      <c r="M237" s="107">
        <v>0.0</v>
      </c>
      <c r="N237" s="107">
        <v>0.0</v>
      </c>
      <c r="O237" s="107">
        <v>0.0</v>
      </c>
      <c r="P237" s="107">
        <v>1.0</v>
      </c>
      <c r="Q237" s="107">
        <v>0.0</v>
      </c>
      <c r="R237" s="107">
        <v>0.0</v>
      </c>
      <c r="S237" s="107">
        <v>0.0</v>
      </c>
      <c r="T237" s="107">
        <v>0.0</v>
      </c>
      <c r="U237" s="107">
        <v>0.0</v>
      </c>
      <c r="V237" s="107">
        <v>1.0</v>
      </c>
      <c r="W237" s="107">
        <v>2.0</v>
      </c>
      <c r="X237" s="108">
        <v>2.0</v>
      </c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ht="15.75" customHeight="1">
      <c r="A238" s="98">
        <v>19.0</v>
      </c>
      <c r="B238" s="99">
        <v>45833.0</v>
      </c>
      <c r="C238" s="100">
        <v>0.8333333333333334</v>
      </c>
      <c r="D238" s="101" t="s">
        <v>54</v>
      </c>
      <c r="E238" s="101" t="s">
        <v>57</v>
      </c>
      <c r="F238" s="112" t="s">
        <v>29</v>
      </c>
      <c r="G238" s="107">
        <v>6.0</v>
      </c>
      <c r="H238" s="115">
        <f t="shared" si="61"/>
        <v>4</v>
      </c>
      <c r="I238" s="116">
        <f t="shared" si="62"/>
        <v>4</v>
      </c>
      <c r="J238" s="116">
        <f t="shared" si="63"/>
        <v>2</v>
      </c>
      <c r="K238" s="117">
        <v>2.0</v>
      </c>
      <c r="L238" s="118">
        <v>0.0</v>
      </c>
      <c r="M238" s="118">
        <v>0.0</v>
      </c>
      <c r="N238" s="118">
        <v>0.0</v>
      </c>
      <c r="O238" s="118">
        <v>0.0</v>
      </c>
      <c r="P238" s="118">
        <v>0.0</v>
      </c>
      <c r="Q238" s="118">
        <v>0.0</v>
      </c>
      <c r="R238" s="118">
        <v>0.0</v>
      </c>
      <c r="S238" s="118">
        <v>0.0</v>
      </c>
      <c r="T238" s="118">
        <v>0.0</v>
      </c>
      <c r="U238" s="118">
        <v>0.0</v>
      </c>
      <c r="V238" s="118">
        <v>2.0</v>
      </c>
      <c r="W238" s="118">
        <v>1.0</v>
      </c>
      <c r="X238" s="119">
        <v>1.0</v>
      </c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ht="15.75" customHeight="1">
      <c r="A239" s="109">
        <v>19.0</v>
      </c>
      <c r="B239" s="110">
        <v>45833.0</v>
      </c>
      <c r="C239" s="111">
        <v>0.8333333333333334</v>
      </c>
      <c r="D239" s="112" t="s">
        <v>54</v>
      </c>
      <c r="E239" s="112" t="s">
        <v>57</v>
      </c>
      <c r="F239" s="112" t="s">
        <v>35</v>
      </c>
      <c r="G239" s="118">
        <v>7.0</v>
      </c>
      <c r="H239" s="115">
        <f t="shared" si="61"/>
        <v>3</v>
      </c>
      <c r="I239" s="116">
        <f t="shared" si="62"/>
        <v>3</v>
      </c>
      <c r="J239" s="116">
        <f t="shared" si="63"/>
        <v>3</v>
      </c>
      <c r="K239" s="117">
        <v>1.0</v>
      </c>
      <c r="L239" s="118">
        <v>2.0</v>
      </c>
      <c r="M239" s="118">
        <v>0.0</v>
      </c>
      <c r="N239" s="118">
        <v>0.0</v>
      </c>
      <c r="O239" s="118">
        <v>0.0</v>
      </c>
      <c r="P239" s="118">
        <v>0.0</v>
      </c>
      <c r="Q239" s="118">
        <v>0.0</v>
      </c>
      <c r="R239" s="118">
        <v>0.0</v>
      </c>
      <c r="S239" s="118">
        <v>0.0</v>
      </c>
      <c r="T239" s="118">
        <v>0.0</v>
      </c>
      <c r="U239" s="118">
        <v>0.0</v>
      </c>
      <c r="V239" s="118">
        <v>0.0</v>
      </c>
      <c r="W239" s="118">
        <v>1.0</v>
      </c>
      <c r="X239" s="119">
        <v>4.0</v>
      </c>
      <c r="Y239" s="120" t="s">
        <v>68</v>
      </c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ht="15.75" customHeight="1">
      <c r="A240" s="98">
        <v>19.0</v>
      </c>
      <c r="B240" s="131">
        <v>45833.0</v>
      </c>
      <c r="C240" s="132">
        <v>0.8333333333333334</v>
      </c>
      <c r="D240" s="133" t="s">
        <v>54</v>
      </c>
      <c r="E240" s="133" t="s">
        <v>57</v>
      </c>
      <c r="F240" s="133" t="s">
        <v>38</v>
      </c>
      <c r="G240" s="107">
        <v>8.0</v>
      </c>
      <c r="H240" s="134">
        <f t="shared" si="61"/>
        <v>4</v>
      </c>
      <c r="I240" s="135">
        <f t="shared" si="62"/>
        <v>3</v>
      </c>
      <c r="J240" s="135">
        <f t="shared" si="63"/>
        <v>2</v>
      </c>
      <c r="K240" s="136">
        <v>2.0</v>
      </c>
      <c r="L240" s="137">
        <v>0.0</v>
      </c>
      <c r="M240" s="137">
        <v>0.0</v>
      </c>
      <c r="N240" s="137">
        <v>0.0</v>
      </c>
      <c r="O240" s="137">
        <v>0.0</v>
      </c>
      <c r="P240" s="137">
        <v>1.0</v>
      </c>
      <c r="Q240" s="137">
        <v>1.0</v>
      </c>
      <c r="R240" s="137">
        <v>0.0</v>
      </c>
      <c r="S240" s="137">
        <v>0.0</v>
      </c>
      <c r="T240" s="137">
        <v>0.0</v>
      </c>
      <c r="U240" s="137">
        <v>0.0</v>
      </c>
      <c r="V240" s="137">
        <v>0.0</v>
      </c>
      <c r="W240" s="137">
        <v>3.0</v>
      </c>
      <c r="X240" s="138">
        <v>1.0</v>
      </c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ht="15.75" customHeight="1">
      <c r="A241" s="109">
        <v>19.0</v>
      </c>
      <c r="B241" s="99">
        <v>45833.0</v>
      </c>
      <c r="C241" s="100">
        <v>0.8333333333333334</v>
      </c>
      <c r="D241" s="101" t="s">
        <v>54</v>
      </c>
      <c r="E241" s="101" t="s">
        <v>57</v>
      </c>
      <c r="F241" s="102" t="s">
        <v>34</v>
      </c>
      <c r="G241" s="118">
        <v>9.0</v>
      </c>
      <c r="H241" s="104">
        <f t="shared" si="61"/>
        <v>4</v>
      </c>
      <c r="I241" s="105">
        <f t="shared" si="62"/>
        <v>4</v>
      </c>
      <c r="J241" s="105">
        <f t="shared" si="63"/>
        <v>2</v>
      </c>
      <c r="K241" s="106">
        <v>2.0</v>
      </c>
      <c r="L241" s="107">
        <v>0.0</v>
      </c>
      <c r="M241" s="107">
        <v>0.0</v>
      </c>
      <c r="N241" s="107">
        <v>0.0</v>
      </c>
      <c r="O241" s="107">
        <v>0.0</v>
      </c>
      <c r="P241" s="107">
        <v>1.0</v>
      </c>
      <c r="Q241" s="107">
        <v>0.0</v>
      </c>
      <c r="R241" s="107">
        <v>0.0</v>
      </c>
      <c r="S241" s="107">
        <v>0.0</v>
      </c>
      <c r="T241" s="107">
        <v>0.0</v>
      </c>
      <c r="U241" s="107">
        <v>0.0</v>
      </c>
      <c r="V241" s="107">
        <v>1.0</v>
      </c>
      <c r="W241" s="107">
        <v>2.0</v>
      </c>
      <c r="X241" s="108">
        <v>0.0</v>
      </c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ht="15.75" customHeight="1">
      <c r="A242" s="98">
        <v>19.0</v>
      </c>
      <c r="B242" s="110">
        <v>45833.0</v>
      </c>
      <c r="C242" s="111">
        <v>0.8333333333333334</v>
      </c>
      <c r="D242" s="112" t="s">
        <v>54</v>
      </c>
      <c r="E242" s="112" t="s">
        <v>57</v>
      </c>
      <c r="F242" s="113" t="s">
        <v>36</v>
      </c>
      <c r="G242" s="107">
        <v>10.0</v>
      </c>
      <c r="H242" s="115">
        <f t="shared" si="61"/>
        <v>3</v>
      </c>
      <c r="I242" s="116">
        <f t="shared" si="62"/>
        <v>3</v>
      </c>
      <c r="J242" s="116">
        <f t="shared" si="63"/>
        <v>2</v>
      </c>
      <c r="K242" s="117">
        <v>2.0</v>
      </c>
      <c r="L242" s="118">
        <v>0.0</v>
      </c>
      <c r="M242" s="118">
        <v>0.0</v>
      </c>
      <c r="N242" s="118">
        <v>0.0</v>
      </c>
      <c r="O242" s="118">
        <v>0.0</v>
      </c>
      <c r="P242" s="118">
        <v>0.0</v>
      </c>
      <c r="Q242" s="118">
        <v>0.0</v>
      </c>
      <c r="R242" s="118">
        <v>0.0</v>
      </c>
      <c r="S242" s="118">
        <v>0.0</v>
      </c>
      <c r="T242" s="118">
        <v>0.0</v>
      </c>
      <c r="U242" s="118">
        <v>0.0</v>
      </c>
      <c r="V242" s="118">
        <v>1.0</v>
      </c>
      <c r="W242" s="118">
        <v>1.0</v>
      </c>
      <c r="X242" s="119">
        <v>2.0</v>
      </c>
      <c r="Y242" s="120" t="s">
        <v>69</v>
      </c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ht="15.75" customHeight="1">
      <c r="A243" s="109">
        <v>19.0</v>
      </c>
      <c r="B243" s="99">
        <v>45833.0</v>
      </c>
      <c r="C243" s="100">
        <v>0.8333333333333334</v>
      </c>
      <c r="D243" s="101" t="s">
        <v>54</v>
      </c>
      <c r="E243" s="101" t="s">
        <v>57</v>
      </c>
      <c r="F243" s="102" t="s">
        <v>40</v>
      </c>
      <c r="G243" s="118">
        <v>11.0</v>
      </c>
      <c r="H243" s="104">
        <f t="shared" si="61"/>
        <v>4</v>
      </c>
      <c r="I243" s="105">
        <f t="shared" si="62"/>
        <v>4</v>
      </c>
      <c r="J243" s="105">
        <f t="shared" si="63"/>
        <v>4</v>
      </c>
      <c r="K243" s="106">
        <v>4.0</v>
      </c>
      <c r="L243" s="107">
        <v>0.0</v>
      </c>
      <c r="M243" s="107">
        <v>0.0</v>
      </c>
      <c r="N243" s="107">
        <v>0.0</v>
      </c>
      <c r="O243" s="107">
        <v>0.0</v>
      </c>
      <c r="P243" s="107">
        <v>0.0</v>
      </c>
      <c r="Q243" s="107">
        <v>0.0</v>
      </c>
      <c r="R243" s="107">
        <v>0.0</v>
      </c>
      <c r="S243" s="107">
        <v>0.0</v>
      </c>
      <c r="T243" s="107">
        <v>0.0</v>
      </c>
      <c r="U243" s="107">
        <v>0.0</v>
      </c>
      <c r="V243" s="107">
        <v>0.0</v>
      </c>
      <c r="W243" s="107">
        <v>2.0</v>
      </c>
      <c r="X243" s="108">
        <v>5.0</v>
      </c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ht="15.75" customHeight="1">
      <c r="A244" s="121">
        <v>19.0</v>
      </c>
      <c r="B244" s="122">
        <v>45833.0</v>
      </c>
      <c r="C244" s="123">
        <v>0.8333333333333334</v>
      </c>
      <c r="D244" s="124" t="s">
        <v>54</v>
      </c>
      <c r="E244" s="124" t="s">
        <v>57</v>
      </c>
      <c r="F244" s="124" t="s">
        <v>44</v>
      </c>
      <c r="G244" s="125"/>
      <c r="H244" s="126">
        <f t="shared" si="61"/>
        <v>46</v>
      </c>
      <c r="I244" s="127">
        <f t="shared" si="62"/>
        <v>44</v>
      </c>
      <c r="J244" s="127">
        <f t="shared" si="63"/>
        <v>29</v>
      </c>
      <c r="K244" s="126">
        <f t="shared" ref="K244:X244" si="67">SUBTOTAL(109,K233:K243)</f>
        <v>21</v>
      </c>
      <c r="L244" s="127">
        <f t="shared" si="67"/>
        <v>8</v>
      </c>
      <c r="M244" s="127">
        <f t="shared" si="67"/>
        <v>0</v>
      </c>
      <c r="N244" s="127">
        <f t="shared" si="67"/>
        <v>0</v>
      </c>
      <c r="O244" s="127">
        <f t="shared" si="67"/>
        <v>0</v>
      </c>
      <c r="P244" s="127">
        <f t="shared" si="67"/>
        <v>5</v>
      </c>
      <c r="Q244" s="127">
        <f t="shared" si="67"/>
        <v>2</v>
      </c>
      <c r="R244" s="127">
        <f t="shared" si="67"/>
        <v>0</v>
      </c>
      <c r="S244" s="127">
        <f t="shared" si="67"/>
        <v>0</v>
      </c>
      <c r="T244" s="127">
        <f t="shared" si="67"/>
        <v>0</v>
      </c>
      <c r="U244" s="127">
        <f t="shared" si="67"/>
        <v>0</v>
      </c>
      <c r="V244" s="127">
        <f t="shared" si="67"/>
        <v>10</v>
      </c>
      <c r="W244" s="127">
        <f t="shared" si="67"/>
        <v>20</v>
      </c>
      <c r="X244" s="128">
        <f t="shared" si="67"/>
        <v>20</v>
      </c>
    </row>
    <row r="245" ht="15.75" customHeight="1">
      <c r="A245" s="109">
        <v>20.0</v>
      </c>
      <c r="B245" s="110">
        <v>45838.0</v>
      </c>
      <c r="C245" s="111">
        <v>0.8958333333333334</v>
      </c>
      <c r="D245" s="112" t="s">
        <v>54</v>
      </c>
      <c r="E245" s="112" t="s">
        <v>70</v>
      </c>
      <c r="F245" s="112" t="s">
        <v>25</v>
      </c>
      <c r="G245" s="118">
        <v>1.0</v>
      </c>
      <c r="H245" s="115">
        <f t="shared" si="61"/>
        <v>5</v>
      </c>
      <c r="I245" s="116">
        <f t="shared" si="62"/>
        <v>5</v>
      </c>
      <c r="J245" s="116">
        <f t="shared" si="63"/>
        <v>5</v>
      </c>
      <c r="K245" s="117">
        <v>4.0</v>
      </c>
      <c r="L245" s="118">
        <v>0.0</v>
      </c>
      <c r="M245" s="118">
        <v>0.0</v>
      </c>
      <c r="N245" s="118">
        <v>0.0</v>
      </c>
      <c r="O245" s="118">
        <v>1.0</v>
      </c>
      <c r="P245" s="118">
        <v>0.0</v>
      </c>
      <c r="Q245" s="118">
        <v>0.0</v>
      </c>
      <c r="R245" s="118">
        <v>0.0</v>
      </c>
      <c r="S245" s="118">
        <v>0.0</v>
      </c>
      <c r="T245" s="118">
        <v>0.0</v>
      </c>
      <c r="U245" s="118">
        <v>0.0</v>
      </c>
      <c r="V245" s="118">
        <v>0.0</v>
      </c>
      <c r="W245" s="118">
        <v>4.0</v>
      </c>
      <c r="X245" s="119">
        <v>2.0</v>
      </c>
    </row>
    <row r="246" ht="15.75" customHeight="1">
      <c r="A246" s="98">
        <v>20.0</v>
      </c>
      <c r="B246" s="99">
        <v>45838.0</v>
      </c>
      <c r="C246" s="100">
        <v>0.8958333333333334</v>
      </c>
      <c r="D246" s="101" t="s">
        <v>54</v>
      </c>
      <c r="E246" s="101" t="s">
        <v>70</v>
      </c>
      <c r="F246" s="102" t="s">
        <v>33</v>
      </c>
      <c r="G246" s="107">
        <v>2.0</v>
      </c>
      <c r="H246" s="104">
        <f t="shared" si="61"/>
        <v>5</v>
      </c>
      <c r="I246" s="105">
        <f t="shared" si="62"/>
        <v>5</v>
      </c>
      <c r="J246" s="105">
        <f t="shared" si="63"/>
        <v>3</v>
      </c>
      <c r="K246" s="106">
        <v>2.0</v>
      </c>
      <c r="L246" s="107">
        <v>0.0</v>
      </c>
      <c r="M246" s="107">
        <v>0.0</v>
      </c>
      <c r="N246" s="107">
        <v>0.0</v>
      </c>
      <c r="O246" s="107">
        <v>1.0</v>
      </c>
      <c r="P246" s="107">
        <v>0.0</v>
      </c>
      <c r="Q246" s="107">
        <v>0.0</v>
      </c>
      <c r="R246" s="107">
        <v>0.0</v>
      </c>
      <c r="S246" s="107">
        <v>0.0</v>
      </c>
      <c r="T246" s="107">
        <v>0.0</v>
      </c>
      <c r="U246" s="107">
        <v>0.0</v>
      </c>
      <c r="V246" s="107">
        <v>2.0</v>
      </c>
      <c r="W246" s="107">
        <v>3.0</v>
      </c>
      <c r="X246" s="108">
        <v>3.0</v>
      </c>
    </row>
    <row r="247" ht="15.75" customHeight="1">
      <c r="A247" s="109">
        <v>20.0</v>
      </c>
      <c r="B247" s="110">
        <v>45838.0</v>
      </c>
      <c r="C247" s="111">
        <v>0.8958333333333334</v>
      </c>
      <c r="D247" s="112" t="s">
        <v>54</v>
      </c>
      <c r="E247" s="112" t="s">
        <v>70</v>
      </c>
      <c r="F247" s="112" t="s">
        <v>29</v>
      </c>
      <c r="G247" s="118">
        <v>3.0</v>
      </c>
      <c r="H247" s="115">
        <f t="shared" si="61"/>
        <v>5</v>
      </c>
      <c r="I247" s="116">
        <f t="shared" si="62"/>
        <v>5</v>
      </c>
      <c r="J247" s="116">
        <f t="shared" si="63"/>
        <v>3</v>
      </c>
      <c r="K247" s="117">
        <v>1.0</v>
      </c>
      <c r="L247" s="118">
        <v>2.0</v>
      </c>
      <c r="M247" s="118">
        <v>0.0</v>
      </c>
      <c r="N247" s="118">
        <v>0.0</v>
      </c>
      <c r="O247" s="118">
        <v>0.0</v>
      </c>
      <c r="P247" s="118">
        <v>0.0</v>
      </c>
      <c r="Q247" s="118">
        <v>0.0</v>
      </c>
      <c r="R247" s="118">
        <v>0.0</v>
      </c>
      <c r="S247" s="118">
        <v>0.0</v>
      </c>
      <c r="T247" s="118">
        <v>0.0</v>
      </c>
      <c r="U247" s="118">
        <v>0.0</v>
      </c>
      <c r="V247" s="118">
        <v>2.0</v>
      </c>
      <c r="W247" s="118">
        <v>2.0</v>
      </c>
      <c r="X247" s="119">
        <v>2.0</v>
      </c>
    </row>
    <row r="248" ht="15.75" customHeight="1">
      <c r="A248" s="98">
        <v>20.0</v>
      </c>
      <c r="B248" s="99">
        <v>45838.0</v>
      </c>
      <c r="C248" s="100">
        <v>0.8958333333333334</v>
      </c>
      <c r="D248" s="101" t="s">
        <v>54</v>
      </c>
      <c r="E248" s="101" t="s">
        <v>70</v>
      </c>
      <c r="F248" s="101" t="s">
        <v>30</v>
      </c>
      <c r="G248" s="107">
        <v>4.0</v>
      </c>
      <c r="H248" s="104">
        <f t="shared" si="61"/>
        <v>5</v>
      </c>
      <c r="I248" s="105">
        <f t="shared" si="62"/>
        <v>4</v>
      </c>
      <c r="J248" s="105">
        <f t="shared" si="63"/>
        <v>2</v>
      </c>
      <c r="K248" s="106">
        <v>0.0</v>
      </c>
      <c r="L248" s="107">
        <v>1.0</v>
      </c>
      <c r="M248" s="107">
        <v>0.0</v>
      </c>
      <c r="N248" s="107">
        <v>0.0</v>
      </c>
      <c r="O248" s="107">
        <v>1.0</v>
      </c>
      <c r="P248" s="107">
        <v>0.0</v>
      </c>
      <c r="Q248" s="107">
        <v>1.0</v>
      </c>
      <c r="R248" s="107">
        <v>0.0</v>
      </c>
      <c r="S248" s="107">
        <v>0.0</v>
      </c>
      <c r="T248" s="107">
        <v>0.0</v>
      </c>
      <c r="U248" s="107">
        <v>0.0</v>
      </c>
      <c r="V248" s="107">
        <v>2.0</v>
      </c>
      <c r="W248" s="107">
        <v>2.0</v>
      </c>
      <c r="X248" s="108">
        <v>5.0</v>
      </c>
    </row>
    <row r="249" ht="15.75" customHeight="1">
      <c r="A249" s="109">
        <v>20.0</v>
      </c>
      <c r="B249" s="110">
        <v>45838.0</v>
      </c>
      <c r="C249" s="111">
        <v>0.8958333333333334</v>
      </c>
      <c r="D249" s="112" t="s">
        <v>54</v>
      </c>
      <c r="E249" s="112" t="s">
        <v>70</v>
      </c>
      <c r="F249" s="102" t="s">
        <v>34</v>
      </c>
      <c r="G249" s="118">
        <v>5.0</v>
      </c>
      <c r="H249" s="104">
        <f t="shared" si="61"/>
        <v>5</v>
      </c>
      <c r="I249" s="105">
        <f t="shared" si="62"/>
        <v>5</v>
      </c>
      <c r="J249" s="105">
        <f t="shared" si="63"/>
        <v>3</v>
      </c>
      <c r="K249" s="106">
        <v>3.0</v>
      </c>
      <c r="L249" s="107">
        <v>0.0</v>
      </c>
      <c r="M249" s="107">
        <v>0.0</v>
      </c>
      <c r="N249" s="107">
        <v>0.0</v>
      </c>
      <c r="O249" s="107">
        <v>0.0</v>
      </c>
      <c r="P249" s="107">
        <v>0.0</v>
      </c>
      <c r="Q249" s="107">
        <v>0.0</v>
      </c>
      <c r="R249" s="107">
        <v>0.0</v>
      </c>
      <c r="S249" s="107">
        <v>0.0</v>
      </c>
      <c r="T249" s="107">
        <v>0.0</v>
      </c>
      <c r="U249" s="107">
        <v>0.0</v>
      </c>
      <c r="V249" s="107">
        <v>2.0</v>
      </c>
      <c r="W249" s="107">
        <v>0.0</v>
      </c>
      <c r="X249" s="108">
        <v>1.0</v>
      </c>
    </row>
    <row r="250" ht="15.75" customHeight="1">
      <c r="A250" s="98">
        <v>20.0</v>
      </c>
      <c r="B250" s="99">
        <v>45838.0</v>
      </c>
      <c r="C250" s="100">
        <v>0.8958333333333334</v>
      </c>
      <c r="D250" s="101" t="s">
        <v>54</v>
      </c>
      <c r="E250" s="101" t="s">
        <v>70</v>
      </c>
      <c r="F250" s="112" t="s">
        <v>36</v>
      </c>
      <c r="G250" s="107">
        <v>6.0</v>
      </c>
      <c r="H250" s="115">
        <f t="shared" si="61"/>
        <v>5</v>
      </c>
      <c r="I250" s="116">
        <f t="shared" si="62"/>
        <v>5</v>
      </c>
      <c r="J250" s="116">
        <f t="shared" si="63"/>
        <v>3</v>
      </c>
      <c r="K250" s="117">
        <v>2.0</v>
      </c>
      <c r="L250" s="118">
        <v>1.0</v>
      </c>
      <c r="M250" s="118">
        <v>0.0</v>
      </c>
      <c r="N250" s="118">
        <v>0.0</v>
      </c>
      <c r="O250" s="118">
        <v>0.0</v>
      </c>
      <c r="P250" s="118">
        <v>0.0</v>
      </c>
      <c r="Q250" s="118">
        <v>0.0</v>
      </c>
      <c r="R250" s="118">
        <v>0.0</v>
      </c>
      <c r="S250" s="118">
        <v>0.0</v>
      </c>
      <c r="T250" s="118">
        <v>0.0</v>
      </c>
      <c r="U250" s="118">
        <v>0.0</v>
      </c>
      <c r="V250" s="118">
        <v>2.0</v>
      </c>
      <c r="W250" s="118">
        <v>0.0</v>
      </c>
      <c r="X250" s="119">
        <v>0.0</v>
      </c>
    </row>
    <row r="251" ht="15.75" customHeight="1">
      <c r="A251" s="109">
        <v>20.0</v>
      </c>
      <c r="B251" s="110">
        <v>45838.0</v>
      </c>
      <c r="C251" s="111">
        <v>0.8958333333333334</v>
      </c>
      <c r="D251" s="112" t="s">
        <v>54</v>
      </c>
      <c r="E251" s="112" t="s">
        <v>70</v>
      </c>
      <c r="F251" s="112" t="s">
        <v>40</v>
      </c>
      <c r="G251" s="118">
        <v>7.0</v>
      </c>
      <c r="H251" s="115">
        <f t="shared" si="61"/>
        <v>5</v>
      </c>
      <c r="I251" s="116">
        <f t="shared" si="62"/>
        <v>5</v>
      </c>
      <c r="J251" s="116">
        <f t="shared" si="63"/>
        <v>1</v>
      </c>
      <c r="K251" s="117">
        <v>1.0</v>
      </c>
      <c r="L251" s="118">
        <v>0.0</v>
      </c>
      <c r="M251" s="118">
        <v>0.0</v>
      </c>
      <c r="N251" s="118">
        <v>0.0</v>
      </c>
      <c r="O251" s="118">
        <v>0.0</v>
      </c>
      <c r="P251" s="118">
        <v>0.0</v>
      </c>
      <c r="Q251" s="118">
        <v>0.0</v>
      </c>
      <c r="R251" s="118">
        <v>0.0</v>
      </c>
      <c r="S251" s="118">
        <v>0.0</v>
      </c>
      <c r="T251" s="118">
        <v>0.0</v>
      </c>
      <c r="U251" s="118">
        <v>0.0</v>
      </c>
      <c r="V251" s="118">
        <v>4.0</v>
      </c>
      <c r="W251" s="118">
        <v>0.0</v>
      </c>
      <c r="X251" s="119">
        <v>0.0</v>
      </c>
    </row>
    <row r="252" ht="15.75" customHeight="1">
      <c r="A252" s="98">
        <v>20.0</v>
      </c>
      <c r="B252" s="131">
        <v>45838.0</v>
      </c>
      <c r="C252" s="132">
        <v>0.8958333333333334</v>
      </c>
      <c r="D252" s="133" t="s">
        <v>54</v>
      </c>
      <c r="E252" s="133" t="s">
        <v>70</v>
      </c>
      <c r="F252" s="133" t="s">
        <v>71</v>
      </c>
      <c r="G252" s="107">
        <v>8.0</v>
      </c>
      <c r="H252" s="134">
        <f t="shared" si="61"/>
        <v>4</v>
      </c>
      <c r="I252" s="135">
        <f t="shared" si="62"/>
        <v>4</v>
      </c>
      <c r="J252" s="135">
        <f t="shared" si="63"/>
        <v>2</v>
      </c>
      <c r="K252" s="136">
        <v>1.0</v>
      </c>
      <c r="L252" s="137">
        <v>0.0</v>
      </c>
      <c r="M252" s="137">
        <v>1.0</v>
      </c>
      <c r="N252" s="137">
        <v>0.0</v>
      </c>
      <c r="O252" s="137">
        <v>0.0</v>
      </c>
      <c r="P252" s="137">
        <v>0.0</v>
      </c>
      <c r="Q252" s="137">
        <v>0.0</v>
      </c>
      <c r="R252" s="137">
        <v>0.0</v>
      </c>
      <c r="S252" s="137">
        <v>0.0</v>
      </c>
      <c r="T252" s="137">
        <v>0.0</v>
      </c>
      <c r="U252" s="137">
        <v>0.0</v>
      </c>
      <c r="V252" s="137">
        <v>2.0</v>
      </c>
      <c r="W252" s="137">
        <v>2.0</v>
      </c>
      <c r="X252" s="138">
        <v>0.0</v>
      </c>
    </row>
    <row r="253" ht="15.75" customHeight="1">
      <c r="A253" s="109">
        <v>20.0</v>
      </c>
      <c r="B253" s="99">
        <v>45838.0</v>
      </c>
      <c r="C253" s="100">
        <v>0.8958333333333334</v>
      </c>
      <c r="D253" s="101" t="s">
        <v>54</v>
      </c>
      <c r="E253" s="101" t="s">
        <v>70</v>
      </c>
      <c r="F253" s="102" t="s">
        <v>71</v>
      </c>
      <c r="G253" s="118">
        <v>9.0</v>
      </c>
      <c r="H253" s="104">
        <f t="shared" si="61"/>
        <v>4</v>
      </c>
      <c r="I253" s="105">
        <f t="shared" si="62"/>
        <v>4</v>
      </c>
      <c r="J253" s="105">
        <f t="shared" si="63"/>
        <v>4</v>
      </c>
      <c r="K253" s="106">
        <v>3.0</v>
      </c>
      <c r="L253" s="107">
        <v>1.0</v>
      </c>
      <c r="M253" s="107">
        <v>0.0</v>
      </c>
      <c r="N253" s="107">
        <v>0.0</v>
      </c>
      <c r="O253" s="107">
        <v>0.0</v>
      </c>
      <c r="P253" s="107">
        <v>0.0</v>
      </c>
      <c r="Q253" s="107">
        <v>0.0</v>
      </c>
      <c r="R253" s="107">
        <v>0.0</v>
      </c>
      <c r="S253" s="107">
        <v>0.0</v>
      </c>
      <c r="T253" s="107">
        <v>0.0</v>
      </c>
      <c r="U253" s="107">
        <v>0.0</v>
      </c>
      <c r="V253" s="107">
        <v>0.0</v>
      </c>
      <c r="W253" s="107">
        <v>1.0</v>
      </c>
      <c r="X253" s="108">
        <v>0.0</v>
      </c>
    </row>
    <row r="254" ht="15.75" customHeight="1">
      <c r="A254" s="98">
        <v>20.0</v>
      </c>
      <c r="B254" s="110">
        <v>45838.0</v>
      </c>
      <c r="C254" s="111">
        <v>0.8958333333333334</v>
      </c>
      <c r="D254" s="112" t="s">
        <v>54</v>
      </c>
      <c r="E254" s="112" t="s">
        <v>70</v>
      </c>
      <c r="F254" s="113" t="s">
        <v>71</v>
      </c>
      <c r="G254" s="107">
        <v>10.0</v>
      </c>
      <c r="H254" s="115">
        <f t="shared" si="61"/>
        <v>4</v>
      </c>
      <c r="I254" s="116">
        <f t="shared" si="62"/>
        <v>4</v>
      </c>
      <c r="J254" s="116">
        <f t="shared" si="63"/>
        <v>1</v>
      </c>
      <c r="K254" s="117">
        <v>1.0</v>
      </c>
      <c r="L254" s="118">
        <v>0.0</v>
      </c>
      <c r="M254" s="118">
        <v>0.0</v>
      </c>
      <c r="N254" s="118">
        <v>0.0</v>
      </c>
      <c r="O254" s="118">
        <v>0.0</v>
      </c>
      <c r="P254" s="118">
        <v>2.0</v>
      </c>
      <c r="Q254" s="118">
        <v>0.0</v>
      </c>
      <c r="R254" s="118">
        <v>0.0</v>
      </c>
      <c r="S254" s="118">
        <v>0.0</v>
      </c>
      <c r="T254" s="118">
        <v>0.0</v>
      </c>
      <c r="U254" s="118">
        <v>0.0</v>
      </c>
      <c r="V254" s="118">
        <v>1.0</v>
      </c>
      <c r="W254" s="118">
        <v>2.0</v>
      </c>
      <c r="X254" s="119">
        <v>3.0</v>
      </c>
    </row>
    <row r="255" ht="15.75" customHeight="1">
      <c r="A255" s="121">
        <v>20.0</v>
      </c>
      <c r="B255" s="122">
        <v>45838.0</v>
      </c>
      <c r="C255" s="123">
        <v>0.8958333333333334</v>
      </c>
      <c r="D255" s="124" t="s">
        <v>54</v>
      </c>
      <c r="E255" s="124" t="s">
        <v>70</v>
      </c>
      <c r="F255" s="124" t="s">
        <v>44</v>
      </c>
      <c r="G255" s="125"/>
      <c r="H255" s="126">
        <f t="shared" si="61"/>
        <v>47</v>
      </c>
      <c r="I255" s="127">
        <f t="shared" si="62"/>
        <v>46</v>
      </c>
      <c r="J255" s="127">
        <f t="shared" si="63"/>
        <v>27</v>
      </c>
      <c r="K255" s="126">
        <f t="shared" ref="K255:X255" si="68">SUBTOTAL(109,K245:K254)</f>
        <v>18</v>
      </c>
      <c r="L255" s="127">
        <f t="shared" si="68"/>
        <v>5</v>
      </c>
      <c r="M255" s="127">
        <f t="shared" si="68"/>
        <v>1</v>
      </c>
      <c r="N255" s="127">
        <f t="shared" si="68"/>
        <v>0</v>
      </c>
      <c r="O255" s="127">
        <f t="shared" si="68"/>
        <v>3</v>
      </c>
      <c r="P255" s="127">
        <f t="shared" si="68"/>
        <v>2</v>
      </c>
      <c r="Q255" s="127">
        <f t="shared" si="68"/>
        <v>1</v>
      </c>
      <c r="R255" s="127">
        <f t="shared" si="68"/>
        <v>0</v>
      </c>
      <c r="S255" s="127">
        <f t="shared" si="68"/>
        <v>0</v>
      </c>
      <c r="T255" s="127">
        <f t="shared" si="68"/>
        <v>0</v>
      </c>
      <c r="U255" s="127">
        <f t="shared" si="68"/>
        <v>0</v>
      </c>
      <c r="V255" s="127">
        <f t="shared" si="68"/>
        <v>17</v>
      </c>
      <c r="W255" s="127">
        <f t="shared" si="68"/>
        <v>16</v>
      </c>
      <c r="X255" s="128">
        <f t="shared" si="68"/>
        <v>16</v>
      </c>
    </row>
    <row r="256" ht="15.75" customHeight="1">
      <c r="A256" s="109">
        <v>21.0</v>
      </c>
      <c r="B256" s="110">
        <v>45844.0</v>
      </c>
      <c r="C256" s="111">
        <v>0.7083333333333334</v>
      </c>
      <c r="D256" s="112" t="s">
        <v>58</v>
      </c>
      <c r="E256" s="112" t="s">
        <v>66</v>
      </c>
      <c r="F256" s="112" t="s">
        <v>28</v>
      </c>
      <c r="G256" s="118">
        <v>1.0</v>
      </c>
      <c r="H256" s="115">
        <f t="shared" si="61"/>
        <v>5</v>
      </c>
      <c r="I256" s="116">
        <f t="shared" si="62"/>
        <v>4</v>
      </c>
      <c r="J256" s="116">
        <f t="shared" si="63"/>
        <v>3</v>
      </c>
      <c r="K256" s="117">
        <v>2.0</v>
      </c>
      <c r="L256" s="118">
        <v>1.0</v>
      </c>
      <c r="M256" s="118">
        <v>0.0</v>
      </c>
      <c r="N256" s="118">
        <v>0.0</v>
      </c>
      <c r="O256" s="118">
        <v>0.0</v>
      </c>
      <c r="P256" s="118">
        <v>0.0</v>
      </c>
      <c r="Q256" s="118">
        <v>1.0</v>
      </c>
      <c r="R256" s="118">
        <v>0.0</v>
      </c>
      <c r="S256" s="118">
        <v>0.0</v>
      </c>
      <c r="T256" s="118">
        <v>0.0</v>
      </c>
      <c r="U256" s="118">
        <v>0.0</v>
      </c>
      <c r="V256" s="118">
        <v>1.0</v>
      </c>
      <c r="W256" s="118">
        <v>4.0</v>
      </c>
      <c r="X256" s="119">
        <v>0.0</v>
      </c>
    </row>
    <row r="257" ht="15.75" customHeight="1">
      <c r="A257" s="98">
        <v>21.0</v>
      </c>
      <c r="B257" s="99">
        <v>45844.0</v>
      </c>
      <c r="C257" s="100">
        <v>0.7083333333333334</v>
      </c>
      <c r="D257" s="101" t="s">
        <v>58</v>
      </c>
      <c r="E257" s="101" t="s">
        <v>66</v>
      </c>
      <c r="F257" s="101" t="s">
        <v>26</v>
      </c>
      <c r="G257" s="107">
        <v>2.0</v>
      </c>
      <c r="H257" s="104">
        <f t="shared" si="61"/>
        <v>5</v>
      </c>
      <c r="I257" s="105">
        <f t="shared" si="62"/>
        <v>4</v>
      </c>
      <c r="J257" s="105">
        <f t="shared" si="63"/>
        <v>4</v>
      </c>
      <c r="K257" s="106">
        <v>3.0</v>
      </c>
      <c r="L257" s="107">
        <v>1.0</v>
      </c>
      <c r="M257" s="107">
        <v>0.0</v>
      </c>
      <c r="N257" s="107">
        <v>0.0</v>
      </c>
      <c r="O257" s="107">
        <v>0.0</v>
      </c>
      <c r="P257" s="107">
        <v>0.0</v>
      </c>
      <c r="Q257" s="107">
        <v>1.0</v>
      </c>
      <c r="R257" s="107">
        <v>0.0</v>
      </c>
      <c r="S257" s="107">
        <v>0.0</v>
      </c>
      <c r="T257" s="107">
        <v>0.0</v>
      </c>
      <c r="U257" s="107">
        <v>0.0</v>
      </c>
      <c r="V257" s="107">
        <v>0.0</v>
      </c>
      <c r="W257" s="107">
        <v>3.0</v>
      </c>
      <c r="X257" s="108">
        <v>3.0</v>
      </c>
    </row>
    <row r="258" ht="15.75" customHeight="1">
      <c r="A258" s="109">
        <v>21.0</v>
      </c>
      <c r="B258" s="110">
        <v>45844.0</v>
      </c>
      <c r="C258" s="111">
        <v>0.7083333333333334</v>
      </c>
      <c r="D258" s="112" t="s">
        <v>58</v>
      </c>
      <c r="E258" s="112" t="s">
        <v>66</v>
      </c>
      <c r="F258" s="112" t="s">
        <v>25</v>
      </c>
      <c r="G258" s="118">
        <v>3.0</v>
      </c>
      <c r="H258" s="115">
        <f t="shared" si="61"/>
        <v>5</v>
      </c>
      <c r="I258" s="116">
        <f t="shared" si="62"/>
        <v>3</v>
      </c>
      <c r="J258" s="116">
        <f t="shared" si="63"/>
        <v>2</v>
      </c>
      <c r="K258" s="117">
        <v>1.0</v>
      </c>
      <c r="L258" s="118">
        <v>1.0</v>
      </c>
      <c r="M258" s="118">
        <v>0.0</v>
      </c>
      <c r="N258" s="118">
        <v>0.0</v>
      </c>
      <c r="O258" s="118">
        <v>0.0</v>
      </c>
      <c r="P258" s="118">
        <v>0.0</v>
      </c>
      <c r="Q258" s="118">
        <v>1.0</v>
      </c>
      <c r="R258" s="118">
        <v>1.0</v>
      </c>
      <c r="S258" s="118">
        <v>0.0</v>
      </c>
      <c r="T258" s="118">
        <v>0.0</v>
      </c>
      <c r="U258" s="118">
        <v>0.0</v>
      </c>
      <c r="V258" s="118">
        <v>1.0</v>
      </c>
      <c r="W258" s="118">
        <v>2.0</v>
      </c>
      <c r="X258" s="119">
        <v>4.0</v>
      </c>
    </row>
    <row r="259" ht="15.75" customHeight="1">
      <c r="A259" s="98">
        <v>21.0</v>
      </c>
      <c r="B259" s="99">
        <v>45844.0</v>
      </c>
      <c r="C259" s="100">
        <v>0.7083333333333334</v>
      </c>
      <c r="D259" s="101" t="s">
        <v>58</v>
      </c>
      <c r="E259" s="101" t="s">
        <v>66</v>
      </c>
      <c r="F259" s="101" t="s">
        <v>30</v>
      </c>
      <c r="G259" s="107">
        <v>4.0</v>
      </c>
      <c r="H259" s="104">
        <f t="shared" si="61"/>
        <v>5</v>
      </c>
      <c r="I259" s="105">
        <f t="shared" si="62"/>
        <v>4</v>
      </c>
      <c r="J259" s="105">
        <f t="shared" si="63"/>
        <v>1</v>
      </c>
      <c r="K259" s="106">
        <v>1.0</v>
      </c>
      <c r="L259" s="107">
        <v>0.0</v>
      </c>
      <c r="M259" s="107">
        <v>0.0</v>
      </c>
      <c r="N259" s="107">
        <v>0.0</v>
      </c>
      <c r="O259" s="107">
        <v>0.0</v>
      </c>
      <c r="P259" s="107">
        <v>0.0</v>
      </c>
      <c r="Q259" s="107">
        <v>0.0</v>
      </c>
      <c r="R259" s="107">
        <v>1.0</v>
      </c>
      <c r="S259" s="107">
        <v>0.0</v>
      </c>
      <c r="T259" s="107">
        <v>0.0</v>
      </c>
      <c r="U259" s="107">
        <v>0.0</v>
      </c>
      <c r="V259" s="107">
        <v>3.0</v>
      </c>
      <c r="W259" s="107">
        <v>0.0</v>
      </c>
      <c r="X259" s="108">
        <v>2.0</v>
      </c>
    </row>
    <row r="260" ht="15.75" customHeight="1">
      <c r="A260" s="109">
        <v>21.0</v>
      </c>
      <c r="B260" s="110">
        <v>45844.0</v>
      </c>
      <c r="C260" s="111">
        <v>0.7083333333333334</v>
      </c>
      <c r="D260" s="112" t="s">
        <v>58</v>
      </c>
      <c r="E260" s="112" t="s">
        <v>66</v>
      </c>
      <c r="F260" s="101" t="s">
        <v>27</v>
      </c>
      <c r="G260" s="118">
        <v>5.0</v>
      </c>
      <c r="H260" s="104">
        <f t="shared" si="61"/>
        <v>5</v>
      </c>
      <c r="I260" s="105">
        <f t="shared" si="62"/>
        <v>5</v>
      </c>
      <c r="J260" s="105">
        <f t="shared" si="63"/>
        <v>4</v>
      </c>
      <c r="K260" s="106">
        <v>4.0</v>
      </c>
      <c r="L260" s="107">
        <v>0.0</v>
      </c>
      <c r="M260" s="107">
        <v>0.0</v>
      </c>
      <c r="N260" s="107">
        <v>0.0</v>
      </c>
      <c r="O260" s="107">
        <v>0.0</v>
      </c>
      <c r="P260" s="107">
        <v>0.0</v>
      </c>
      <c r="Q260" s="107">
        <v>0.0</v>
      </c>
      <c r="R260" s="107">
        <v>0.0</v>
      </c>
      <c r="S260" s="107">
        <v>0.0</v>
      </c>
      <c r="T260" s="107">
        <v>0.0</v>
      </c>
      <c r="U260" s="107">
        <v>0.0</v>
      </c>
      <c r="V260" s="107">
        <v>1.0</v>
      </c>
      <c r="W260" s="107">
        <v>2.0</v>
      </c>
      <c r="X260" s="108">
        <v>2.0</v>
      </c>
    </row>
    <row r="261" ht="15.75" customHeight="1">
      <c r="A261" s="98">
        <v>21.0</v>
      </c>
      <c r="B261" s="99">
        <v>45844.0</v>
      </c>
      <c r="C261" s="100">
        <v>0.7083333333333334</v>
      </c>
      <c r="D261" s="101" t="s">
        <v>58</v>
      </c>
      <c r="E261" s="101" t="s">
        <v>66</v>
      </c>
      <c r="F261" s="112" t="s">
        <v>37</v>
      </c>
      <c r="G261" s="107">
        <v>6.0</v>
      </c>
      <c r="H261" s="115">
        <f t="shared" si="61"/>
        <v>5</v>
      </c>
      <c r="I261" s="116">
        <f t="shared" si="62"/>
        <v>4</v>
      </c>
      <c r="J261" s="116">
        <f t="shared" si="63"/>
        <v>2</v>
      </c>
      <c r="K261" s="117">
        <v>2.0</v>
      </c>
      <c r="L261" s="118">
        <v>0.0</v>
      </c>
      <c r="M261" s="118">
        <v>0.0</v>
      </c>
      <c r="N261" s="118">
        <v>0.0</v>
      </c>
      <c r="O261" s="118">
        <v>0.0</v>
      </c>
      <c r="P261" s="118">
        <v>0.0</v>
      </c>
      <c r="Q261" s="118">
        <v>1.0</v>
      </c>
      <c r="R261" s="118">
        <v>0.0</v>
      </c>
      <c r="S261" s="118">
        <v>0.0</v>
      </c>
      <c r="T261" s="118">
        <v>0.0</v>
      </c>
      <c r="U261" s="118">
        <v>0.0</v>
      </c>
      <c r="V261" s="118">
        <v>2.0</v>
      </c>
      <c r="W261" s="118">
        <v>1.0</v>
      </c>
      <c r="X261" s="119">
        <v>1.0</v>
      </c>
    </row>
    <row r="262" ht="15.75" customHeight="1">
      <c r="A262" s="109">
        <v>21.0</v>
      </c>
      <c r="B262" s="110">
        <v>45844.0</v>
      </c>
      <c r="C262" s="111">
        <v>0.7083333333333334</v>
      </c>
      <c r="D262" s="112" t="s">
        <v>58</v>
      </c>
      <c r="E262" s="112" t="s">
        <v>66</v>
      </c>
      <c r="F262" s="112" t="s">
        <v>34</v>
      </c>
      <c r="G262" s="118">
        <v>7.0</v>
      </c>
      <c r="H262" s="115">
        <f t="shared" si="61"/>
        <v>5</v>
      </c>
      <c r="I262" s="116">
        <f t="shared" si="62"/>
        <v>5</v>
      </c>
      <c r="J262" s="116">
        <f t="shared" si="63"/>
        <v>3</v>
      </c>
      <c r="K262" s="117">
        <v>3.0</v>
      </c>
      <c r="L262" s="118">
        <v>0.0</v>
      </c>
      <c r="M262" s="118">
        <v>0.0</v>
      </c>
      <c r="N262" s="118">
        <v>0.0</v>
      </c>
      <c r="O262" s="118">
        <v>0.0</v>
      </c>
      <c r="P262" s="118">
        <v>0.0</v>
      </c>
      <c r="Q262" s="118">
        <v>0.0</v>
      </c>
      <c r="R262" s="118">
        <v>0.0</v>
      </c>
      <c r="S262" s="118">
        <v>0.0</v>
      </c>
      <c r="T262" s="118">
        <v>0.0</v>
      </c>
      <c r="U262" s="118">
        <v>0.0</v>
      </c>
      <c r="V262" s="118">
        <v>2.0</v>
      </c>
      <c r="W262" s="118">
        <v>1.0</v>
      </c>
      <c r="X262" s="119">
        <v>4.0</v>
      </c>
    </row>
    <row r="263" ht="15.75" customHeight="1">
      <c r="A263" s="98">
        <v>21.0</v>
      </c>
      <c r="B263" s="99">
        <v>45844.0</v>
      </c>
      <c r="C263" s="100">
        <v>0.7083333333333334</v>
      </c>
      <c r="D263" s="101" t="s">
        <v>58</v>
      </c>
      <c r="E263" s="101" t="s">
        <v>66</v>
      </c>
      <c r="F263" s="133" t="s">
        <v>36</v>
      </c>
      <c r="G263" s="107">
        <v>8.0</v>
      </c>
      <c r="H263" s="134">
        <f t="shared" si="61"/>
        <v>5</v>
      </c>
      <c r="I263" s="135">
        <f t="shared" si="62"/>
        <v>5</v>
      </c>
      <c r="J263" s="135">
        <f t="shared" si="63"/>
        <v>1</v>
      </c>
      <c r="K263" s="136">
        <v>1.0</v>
      </c>
      <c r="L263" s="137">
        <v>0.0</v>
      </c>
      <c r="M263" s="137">
        <v>0.0</v>
      </c>
      <c r="N263" s="137">
        <v>0.0</v>
      </c>
      <c r="O263" s="137">
        <v>0.0</v>
      </c>
      <c r="P263" s="137">
        <v>1.0</v>
      </c>
      <c r="Q263" s="137">
        <v>0.0</v>
      </c>
      <c r="R263" s="137">
        <v>0.0</v>
      </c>
      <c r="S263" s="137">
        <v>0.0</v>
      </c>
      <c r="T263" s="137">
        <v>0.0</v>
      </c>
      <c r="U263" s="137">
        <v>0.0</v>
      </c>
      <c r="V263" s="137">
        <v>3.0</v>
      </c>
      <c r="W263" s="137">
        <v>0.0</v>
      </c>
      <c r="X263" s="138">
        <v>1.0</v>
      </c>
    </row>
    <row r="264" ht="15.75" customHeight="1">
      <c r="A264" s="109">
        <v>21.0</v>
      </c>
      <c r="B264" s="110">
        <v>45844.0</v>
      </c>
      <c r="C264" s="111">
        <v>0.7083333333333334</v>
      </c>
      <c r="D264" s="112" t="s">
        <v>58</v>
      </c>
      <c r="E264" s="112" t="s">
        <v>66</v>
      </c>
      <c r="F264" s="101" t="s">
        <v>38</v>
      </c>
      <c r="G264" s="118">
        <v>9.0</v>
      </c>
      <c r="H264" s="104">
        <f t="shared" si="61"/>
        <v>4</v>
      </c>
      <c r="I264" s="105">
        <f t="shared" si="62"/>
        <v>4</v>
      </c>
      <c r="J264" s="105">
        <f t="shared" si="63"/>
        <v>3</v>
      </c>
      <c r="K264" s="106">
        <v>3.0</v>
      </c>
      <c r="L264" s="107">
        <v>0.0</v>
      </c>
      <c r="M264" s="107">
        <v>0.0</v>
      </c>
      <c r="N264" s="107">
        <v>0.0</v>
      </c>
      <c r="O264" s="107">
        <v>0.0</v>
      </c>
      <c r="P264" s="107">
        <v>0.0</v>
      </c>
      <c r="Q264" s="107">
        <v>0.0</v>
      </c>
      <c r="R264" s="107">
        <v>0.0</v>
      </c>
      <c r="S264" s="107">
        <v>0.0</v>
      </c>
      <c r="T264" s="107">
        <v>0.0</v>
      </c>
      <c r="U264" s="107">
        <v>0.0</v>
      </c>
      <c r="V264" s="107">
        <v>1.0</v>
      </c>
      <c r="W264" s="107">
        <v>2.0</v>
      </c>
      <c r="X264" s="108">
        <v>1.0</v>
      </c>
    </row>
    <row r="265" ht="15.75" customHeight="1">
      <c r="A265" s="98">
        <v>21.0</v>
      </c>
      <c r="B265" s="99">
        <v>45844.0</v>
      </c>
      <c r="C265" s="100">
        <v>0.7083333333333334</v>
      </c>
      <c r="D265" s="101" t="s">
        <v>58</v>
      </c>
      <c r="E265" s="101" t="s">
        <v>66</v>
      </c>
      <c r="F265" s="112" t="s">
        <v>39</v>
      </c>
      <c r="G265" s="107">
        <v>10.0</v>
      </c>
      <c r="H265" s="115">
        <f t="shared" si="61"/>
        <v>4</v>
      </c>
      <c r="I265" s="116">
        <f t="shared" si="62"/>
        <v>4</v>
      </c>
      <c r="J265" s="116">
        <f t="shared" si="63"/>
        <v>3</v>
      </c>
      <c r="K265" s="117">
        <v>2.0</v>
      </c>
      <c r="L265" s="118">
        <v>1.0</v>
      </c>
      <c r="M265" s="118">
        <v>0.0</v>
      </c>
      <c r="N265" s="118">
        <v>0.0</v>
      </c>
      <c r="O265" s="118">
        <v>0.0</v>
      </c>
      <c r="P265" s="118">
        <v>0.0</v>
      </c>
      <c r="Q265" s="118">
        <v>0.0</v>
      </c>
      <c r="R265" s="118">
        <v>0.0</v>
      </c>
      <c r="S265" s="118">
        <v>0.0</v>
      </c>
      <c r="T265" s="118">
        <v>0.0</v>
      </c>
      <c r="U265" s="118">
        <v>0.0</v>
      </c>
      <c r="V265" s="118">
        <v>1.0</v>
      </c>
      <c r="W265" s="118">
        <v>3.0</v>
      </c>
      <c r="X265" s="119">
        <v>0.0</v>
      </c>
    </row>
    <row r="266" ht="15.75" customHeight="1">
      <c r="A266" s="121">
        <v>21.0</v>
      </c>
      <c r="B266" s="122">
        <v>45844.0</v>
      </c>
      <c r="C266" s="123">
        <v>0.7083333333333334</v>
      </c>
      <c r="D266" s="124" t="s">
        <v>58</v>
      </c>
      <c r="E266" s="124" t="s">
        <v>66</v>
      </c>
      <c r="F266" s="124" t="s">
        <v>44</v>
      </c>
      <c r="G266" s="125"/>
      <c r="H266" s="126">
        <f t="shared" si="61"/>
        <v>48</v>
      </c>
      <c r="I266" s="127">
        <f t="shared" si="62"/>
        <v>42</v>
      </c>
      <c r="J266" s="127">
        <f t="shared" si="63"/>
        <v>26</v>
      </c>
      <c r="K266" s="126">
        <f t="shared" ref="K266:X266" si="69">SUBTOTAL(109,K256:K265)</f>
        <v>22</v>
      </c>
      <c r="L266" s="127">
        <f t="shared" si="69"/>
        <v>4</v>
      </c>
      <c r="M266" s="127">
        <f t="shared" si="69"/>
        <v>0</v>
      </c>
      <c r="N266" s="127">
        <f t="shared" si="69"/>
        <v>0</v>
      </c>
      <c r="O266" s="127">
        <f t="shared" si="69"/>
        <v>0</v>
      </c>
      <c r="P266" s="127">
        <f t="shared" si="69"/>
        <v>1</v>
      </c>
      <c r="Q266" s="127">
        <f t="shared" si="69"/>
        <v>4</v>
      </c>
      <c r="R266" s="127">
        <f t="shared" si="69"/>
        <v>2</v>
      </c>
      <c r="S266" s="127">
        <f t="shared" si="69"/>
        <v>0</v>
      </c>
      <c r="T266" s="127">
        <f t="shared" si="69"/>
        <v>0</v>
      </c>
      <c r="U266" s="127">
        <f t="shared" si="69"/>
        <v>0</v>
      </c>
      <c r="V266" s="127">
        <f t="shared" si="69"/>
        <v>15</v>
      </c>
      <c r="W266" s="127">
        <f t="shared" si="69"/>
        <v>18</v>
      </c>
      <c r="X266" s="128">
        <f t="shared" si="69"/>
        <v>18</v>
      </c>
    </row>
    <row r="267" ht="15.75" customHeight="1">
      <c r="A267" s="109">
        <v>22.0</v>
      </c>
      <c r="B267" s="110">
        <v>45844.0</v>
      </c>
      <c r="C267" s="111">
        <v>0.7708333333333334</v>
      </c>
      <c r="D267" s="112" t="s">
        <v>54</v>
      </c>
      <c r="E267" s="112" t="s">
        <v>63</v>
      </c>
      <c r="F267" s="112" t="s">
        <v>26</v>
      </c>
      <c r="G267" s="118">
        <v>1.0</v>
      </c>
      <c r="H267" s="115">
        <f t="shared" si="61"/>
        <v>5</v>
      </c>
      <c r="I267" s="116">
        <f t="shared" si="62"/>
        <v>4</v>
      </c>
      <c r="J267" s="116">
        <f t="shared" si="63"/>
        <v>2</v>
      </c>
      <c r="K267" s="117">
        <v>0.0</v>
      </c>
      <c r="L267" s="118">
        <v>0.0</v>
      </c>
      <c r="M267" s="118">
        <v>0.0</v>
      </c>
      <c r="N267" s="118">
        <v>2.0</v>
      </c>
      <c r="O267" s="118">
        <v>0.0</v>
      </c>
      <c r="P267" s="118">
        <v>1.0</v>
      </c>
      <c r="Q267" s="118">
        <v>1.0</v>
      </c>
      <c r="R267" s="118">
        <v>0.0</v>
      </c>
      <c r="S267" s="118">
        <v>0.0</v>
      </c>
      <c r="T267" s="118">
        <v>0.0</v>
      </c>
      <c r="U267" s="118">
        <v>0.0</v>
      </c>
      <c r="V267" s="118">
        <v>1.0</v>
      </c>
      <c r="W267" s="118">
        <v>3.0</v>
      </c>
      <c r="X267" s="119">
        <v>3.0</v>
      </c>
    </row>
    <row r="268" ht="15.75" customHeight="1">
      <c r="A268" s="98">
        <v>22.0</v>
      </c>
      <c r="B268" s="99">
        <v>45844.0</v>
      </c>
      <c r="C268" s="100">
        <v>0.7708333333333334</v>
      </c>
      <c r="D268" s="101" t="s">
        <v>54</v>
      </c>
      <c r="E268" s="101" t="s">
        <v>63</v>
      </c>
      <c r="F268" s="101" t="s">
        <v>27</v>
      </c>
      <c r="G268" s="107">
        <v>2.0</v>
      </c>
      <c r="H268" s="104">
        <f t="shared" si="61"/>
        <v>4</v>
      </c>
      <c r="I268" s="105">
        <f t="shared" si="62"/>
        <v>3</v>
      </c>
      <c r="J268" s="105">
        <f t="shared" si="63"/>
        <v>1</v>
      </c>
      <c r="K268" s="106">
        <v>1.0</v>
      </c>
      <c r="L268" s="107">
        <v>0.0</v>
      </c>
      <c r="M268" s="107">
        <v>0.0</v>
      </c>
      <c r="N268" s="107">
        <v>0.0</v>
      </c>
      <c r="O268" s="107">
        <v>0.0</v>
      </c>
      <c r="P268" s="107">
        <v>0.0</v>
      </c>
      <c r="Q268" s="107">
        <v>1.0</v>
      </c>
      <c r="R268" s="107">
        <v>0.0</v>
      </c>
      <c r="S268" s="107">
        <v>0.0</v>
      </c>
      <c r="T268" s="107">
        <v>0.0</v>
      </c>
      <c r="U268" s="107">
        <v>0.0</v>
      </c>
      <c r="V268" s="107">
        <v>2.0</v>
      </c>
      <c r="W268" s="107">
        <v>2.0</v>
      </c>
      <c r="X268" s="108">
        <v>1.0</v>
      </c>
    </row>
    <row r="269" ht="15.75" customHeight="1">
      <c r="A269" s="98">
        <v>22.0</v>
      </c>
      <c r="B269" s="110">
        <v>45844.0</v>
      </c>
      <c r="C269" s="111">
        <v>0.7708333333333334</v>
      </c>
      <c r="D269" s="112" t="s">
        <v>54</v>
      </c>
      <c r="E269" s="112" t="s">
        <v>63</v>
      </c>
      <c r="F269" s="112" t="s">
        <v>25</v>
      </c>
      <c r="G269" s="118">
        <v>3.0</v>
      </c>
      <c r="H269" s="115">
        <f t="shared" si="61"/>
        <v>4</v>
      </c>
      <c r="I269" s="116">
        <f t="shared" si="62"/>
        <v>4</v>
      </c>
      <c r="J269" s="116">
        <f t="shared" si="63"/>
        <v>2</v>
      </c>
      <c r="K269" s="117">
        <v>1.0</v>
      </c>
      <c r="L269" s="118">
        <v>0.0</v>
      </c>
      <c r="M269" s="118">
        <v>0.0</v>
      </c>
      <c r="N269" s="118">
        <v>0.0</v>
      </c>
      <c r="O269" s="118">
        <v>1.0</v>
      </c>
      <c r="P269" s="118">
        <v>0.0</v>
      </c>
      <c r="Q269" s="118">
        <v>0.0</v>
      </c>
      <c r="R269" s="118">
        <v>0.0</v>
      </c>
      <c r="S269" s="118">
        <v>0.0</v>
      </c>
      <c r="T269" s="118">
        <v>0.0</v>
      </c>
      <c r="U269" s="118">
        <v>0.0</v>
      </c>
      <c r="V269" s="118">
        <v>2.0</v>
      </c>
      <c r="W269" s="118">
        <v>2.0</v>
      </c>
      <c r="X269" s="119">
        <v>4.0</v>
      </c>
    </row>
    <row r="270" ht="15.75" customHeight="1">
      <c r="A270" s="98">
        <v>22.0</v>
      </c>
      <c r="B270" s="99">
        <v>45844.0</v>
      </c>
      <c r="C270" s="100">
        <v>0.7708333333333334</v>
      </c>
      <c r="D270" s="101" t="s">
        <v>54</v>
      </c>
      <c r="E270" s="101" t="s">
        <v>63</v>
      </c>
      <c r="F270" s="101" t="s">
        <v>30</v>
      </c>
      <c r="G270" s="107">
        <v>4.0</v>
      </c>
      <c r="H270" s="104">
        <f t="shared" si="61"/>
        <v>4</v>
      </c>
      <c r="I270" s="105">
        <f t="shared" si="62"/>
        <v>4</v>
      </c>
      <c r="J270" s="105">
        <f t="shared" si="63"/>
        <v>3</v>
      </c>
      <c r="K270" s="106">
        <v>1.0</v>
      </c>
      <c r="L270" s="107">
        <v>0.0</v>
      </c>
      <c r="M270" s="107">
        <v>0.0</v>
      </c>
      <c r="N270" s="107">
        <v>0.0</v>
      </c>
      <c r="O270" s="107">
        <v>2.0</v>
      </c>
      <c r="P270" s="107">
        <v>0.0</v>
      </c>
      <c r="Q270" s="107">
        <v>0.0</v>
      </c>
      <c r="R270" s="107">
        <v>0.0</v>
      </c>
      <c r="S270" s="107">
        <v>0.0</v>
      </c>
      <c r="T270" s="107">
        <v>0.0</v>
      </c>
      <c r="U270" s="107">
        <v>0.0</v>
      </c>
      <c r="V270" s="107">
        <v>1.0</v>
      </c>
      <c r="W270" s="107">
        <v>2.0</v>
      </c>
      <c r="X270" s="108">
        <v>4.0</v>
      </c>
    </row>
    <row r="271" ht="15.75" customHeight="1">
      <c r="A271" s="98">
        <v>22.0</v>
      </c>
      <c r="B271" s="110">
        <v>45844.0</v>
      </c>
      <c r="C271" s="111">
        <v>0.7708333333333334</v>
      </c>
      <c r="D271" s="112" t="s">
        <v>54</v>
      </c>
      <c r="E271" s="112" t="s">
        <v>63</v>
      </c>
      <c r="F271" s="101" t="s">
        <v>29</v>
      </c>
      <c r="G271" s="118">
        <v>5.0</v>
      </c>
      <c r="H271" s="104">
        <f t="shared" si="61"/>
        <v>4</v>
      </c>
      <c r="I271" s="105">
        <f t="shared" si="62"/>
        <v>4</v>
      </c>
      <c r="J271" s="105">
        <f t="shared" si="63"/>
        <v>2</v>
      </c>
      <c r="K271" s="106">
        <v>2.0</v>
      </c>
      <c r="L271" s="107">
        <v>0.0</v>
      </c>
      <c r="M271" s="107">
        <v>0.0</v>
      </c>
      <c r="N271" s="107">
        <v>0.0</v>
      </c>
      <c r="O271" s="107">
        <v>0.0</v>
      </c>
      <c r="P271" s="107">
        <v>0.0</v>
      </c>
      <c r="Q271" s="107">
        <v>0.0</v>
      </c>
      <c r="R271" s="107">
        <v>0.0</v>
      </c>
      <c r="S271" s="107">
        <v>1.0</v>
      </c>
      <c r="T271" s="107">
        <v>0.0</v>
      </c>
      <c r="U271" s="107">
        <v>1.0</v>
      </c>
      <c r="V271" s="107">
        <v>0.0</v>
      </c>
      <c r="W271" s="107">
        <v>0.0</v>
      </c>
      <c r="X271" s="108">
        <v>0.0</v>
      </c>
    </row>
    <row r="272" ht="15.75" customHeight="1">
      <c r="A272" s="98">
        <v>22.0</v>
      </c>
      <c r="B272" s="99">
        <v>45844.0</v>
      </c>
      <c r="C272" s="100">
        <v>0.7708333333333334</v>
      </c>
      <c r="D272" s="101" t="s">
        <v>54</v>
      </c>
      <c r="E272" s="101" t="s">
        <v>63</v>
      </c>
      <c r="F272" s="112" t="s">
        <v>37</v>
      </c>
      <c r="G272" s="107">
        <v>6.0</v>
      </c>
      <c r="H272" s="115">
        <f t="shared" si="61"/>
        <v>4</v>
      </c>
      <c r="I272" s="116">
        <f t="shared" si="62"/>
        <v>4</v>
      </c>
      <c r="J272" s="116">
        <f t="shared" si="63"/>
        <v>1</v>
      </c>
      <c r="K272" s="117">
        <v>0.0</v>
      </c>
      <c r="L272" s="118">
        <v>1.0</v>
      </c>
      <c r="M272" s="118">
        <v>0.0</v>
      </c>
      <c r="N272" s="118">
        <v>0.0</v>
      </c>
      <c r="O272" s="118">
        <v>0.0</v>
      </c>
      <c r="P272" s="118">
        <v>1.0</v>
      </c>
      <c r="Q272" s="118">
        <v>0.0</v>
      </c>
      <c r="R272" s="118">
        <v>0.0</v>
      </c>
      <c r="S272" s="118">
        <v>0.0</v>
      </c>
      <c r="T272" s="118">
        <v>0.0</v>
      </c>
      <c r="U272" s="118">
        <v>1.0</v>
      </c>
      <c r="V272" s="118">
        <v>1.0</v>
      </c>
      <c r="W272" s="118">
        <v>1.0</v>
      </c>
      <c r="X272" s="119">
        <v>0.0</v>
      </c>
    </row>
    <row r="273" ht="15.75" customHeight="1">
      <c r="A273" s="98">
        <v>22.0</v>
      </c>
      <c r="B273" s="110">
        <v>45844.0</v>
      </c>
      <c r="C273" s="111">
        <v>0.7708333333333334</v>
      </c>
      <c r="D273" s="112" t="s">
        <v>54</v>
      </c>
      <c r="E273" s="112" t="s">
        <v>63</v>
      </c>
      <c r="F273" s="112" t="s">
        <v>34</v>
      </c>
      <c r="G273" s="118">
        <v>7.0</v>
      </c>
      <c r="H273" s="115">
        <f t="shared" si="61"/>
        <v>4</v>
      </c>
      <c r="I273" s="116">
        <f t="shared" si="62"/>
        <v>4</v>
      </c>
      <c r="J273" s="116">
        <f t="shared" si="63"/>
        <v>2</v>
      </c>
      <c r="K273" s="117">
        <v>1.0</v>
      </c>
      <c r="L273" s="118">
        <v>1.0</v>
      </c>
      <c r="M273" s="118">
        <v>0.0</v>
      </c>
      <c r="N273" s="118">
        <v>0.0</v>
      </c>
      <c r="O273" s="118">
        <v>0.0</v>
      </c>
      <c r="P273" s="118">
        <v>0.0</v>
      </c>
      <c r="Q273" s="118">
        <v>0.0</v>
      </c>
      <c r="R273" s="118">
        <v>0.0</v>
      </c>
      <c r="S273" s="118">
        <v>0.0</v>
      </c>
      <c r="T273" s="118">
        <v>0.0</v>
      </c>
      <c r="U273" s="118">
        <v>2.0</v>
      </c>
      <c r="V273" s="118">
        <v>0.0</v>
      </c>
      <c r="W273" s="118">
        <v>1.0</v>
      </c>
      <c r="X273" s="119">
        <v>0.0</v>
      </c>
    </row>
    <row r="274" ht="15.75" customHeight="1">
      <c r="A274" s="98">
        <v>22.0</v>
      </c>
      <c r="B274" s="99">
        <v>45844.0</v>
      </c>
      <c r="C274" s="100">
        <v>0.7708333333333334</v>
      </c>
      <c r="D274" s="101" t="s">
        <v>54</v>
      </c>
      <c r="E274" s="101" t="s">
        <v>63</v>
      </c>
      <c r="F274" s="133" t="s">
        <v>36</v>
      </c>
      <c r="G274" s="107">
        <v>8.0</v>
      </c>
      <c r="H274" s="134">
        <f t="shared" si="61"/>
        <v>4</v>
      </c>
      <c r="I274" s="135">
        <f t="shared" si="62"/>
        <v>4</v>
      </c>
      <c r="J274" s="135">
        <f t="shared" si="63"/>
        <v>3</v>
      </c>
      <c r="K274" s="136">
        <v>2.0</v>
      </c>
      <c r="L274" s="137">
        <v>1.0</v>
      </c>
      <c r="M274" s="137">
        <v>0.0</v>
      </c>
      <c r="N274" s="137">
        <v>0.0</v>
      </c>
      <c r="O274" s="137">
        <v>0.0</v>
      </c>
      <c r="P274" s="137">
        <v>1.0</v>
      </c>
      <c r="Q274" s="137">
        <v>0.0</v>
      </c>
      <c r="R274" s="137">
        <v>0.0</v>
      </c>
      <c r="S274" s="137">
        <v>0.0</v>
      </c>
      <c r="T274" s="137">
        <v>0.0</v>
      </c>
      <c r="U274" s="137">
        <v>0.0</v>
      </c>
      <c r="V274" s="137">
        <v>0.0</v>
      </c>
      <c r="W274" s="137">
        <v>2.0</v>
      </c>
      <c r="X274" s="138">
        <v>1.0</v>
      </c>
    </row>
    <row r="275" ht="15.75" customHeight="1">
      <c r="A275" s="98">
        <v>22.0</v>
      </c>
      <c r="B275" s="110">
        <v>45844.0</v>
      </c>
      <c r="C275" s="111">
        <v>0.7708333333333334</v>
      </c>
      <c r="D275" s="112" t="s">
        <v>54</v>
      </c>
      <c r="E275" s="112" t="s">
        <v>63</v>
      </c>
      <c r="F275" s="101" t="s">
        <v>38</v>
      </c>
      <c r="G275" s="118">
        <v>9.0</v>
      </c>
      <c r="H275" s="104">
        <f t="shared" si="61"/>
        <v>4</v>
      </c>
      <c r="I275" s="105">
        <f t="shared" si="62"/>
        <v>3</v>
      </c>
      <c r="J275" s="105">
        <f t="shared" si="63"/>
        <v>1</v>
      </c>
      <c r="K275" s="106">
        <v>1.0</v>
      </c>
      <c r="L275" s="107">
        <v>0.0</v>
      </c>
      <c r="M275" s="107">
        <v>0.0</v>
      </c>
      <c r="N275" s="107">
        <v>0.0</v>
      </c>
      <c r="O275" s="107">
        <v>0.0</v>
      </c>
      <c r="P275" s="107">
        <v>0.0</v>
      </c>
      <c r="Q275" s="107">
        <v>1.0</v>
      </c>
      <c r="R275" s="107">
        <v>0.0</v>
      </c>
      <c r="S275" s="107">
        <v>0.0</v>
      </c>
      <c r="T275" s="107">
        <v>0.0</v>
      </c>
      <c r="U275" s="107">
        <v>1.0</v>
      </c>
      <c r="V275" s="107">
        <v>1.0</v>
      </c>
      <c r="W275" s="107">
        <v>2.0</v>
      </c>
      <c r="X275" s="108">
        <v>1.0</v>
      </c>
    </row>
    <row r="276" ht="15.75" customHeight="1">
      <c r="A276" s="98">
        <v>22.0</v>
      </c>
      <c r="B276" s="99">
        <v>45844.0</v>
      </c>
      <c r="C276" s="100">
        <v>0.7708333333333334</v>
      </c>
      <c r="D276" s="101" t="s">
        <v>54</v>
      </c>
      <c r="E276" s="101" t="s">
        <v>63</v>
      </c>
      <c r="F276" s="112" t="s">
        <v>39</v>
      </c>
      <c r="G276" s="107">
        <v>10.0</v>
      </c>
      <c r="H276" s="115">
        <f t="shared" si="61"/>
        <v>4</v>
      </c>
      <c r="I276" s="116">
        <f t="shared" si="62"/>
        <v>4</v>
      </c>
      <c r="J276" s="116">
        <f t="shared" si="63"/>
        <v>0</v>
      </c>
      <c r="K276" s="117">
        <v>0.0</v>
      </c>
      <c r="L276" s="118">
        <v>0.0</v>
      </c>
      <c r="M276" s="118">
        <v>0.0</v>
      </c>
      <c r="N276" s="118">
        <v>0.0</v>
      </c>
      <c r="O276" s="118">
        <v>0.0</v>
      </c>
      <c r="P276" s="118">
        <v>1.0</v>
      </c>
      <c r="Q276" s="118">
        <v>0.0</v>
      </c>
      <c r="R276" s="118">
        <v>0.0</v>
      </c>
      <c r="S276" s="118">
        <v>0.0</v>
      </c>
      <c r="T276" s="118">
        <v>0.0</v>
      </c>
      <c r="U276" s="118">
        <v>0.0</v>
      </c>
      <c r="V276" s="118">
        <v>3.0</v>
      </c>
      <c r="W276" s="118">
        <v>0.0</v>
      </c>
      <c r="X276" s="119">
        <v>1.0</v>
      </c>
    </row>
    <row r="277" ht="15.75" customHeight="1">
      <c r="A277" s="121">
        <v>22.0</v>
      </c>
      <c r="B277" s="122">
        <v>45844.0</v>
      </c>
      <c r="C277" s="123">
        <v>0.7708333333333334</v>
      </c>
      <c r="D277" s="124" t="s">
        <v>54</v>
      </c>
      <c r="E277" s="124" t="s">
        <v>63</v>
      </c>
      <c r="F277" s="124" t="s">
        <v>44</v>
      </c>
      <c r="G277" s="125"/>
      <c r="H277" s="126">
        <f t="shared" si="61"/>
        <v>41</v>
      </c>
      <c r="I277" s="127">
        <f t="shared" si="62"/>
        <v>38</v>
      </c>
      <c r="J277" s="127">
        <f t="shared" si="63"/>
        <v>17</v>
      </c>
      <c r="K277" s="126">
        <f t="shared" ref="K277:X277" si="70">SUBTOTAL(109,K267:K276)</f>
        <v>9</v>
      </c>
      <c r="L277" s="127">
        <f t="shared" si="70"/>
        <v>3</v>
      </c>
      <c r="M277" s="127">
        <f t="shared" si="70"/>
        <v>0</v>
      </c>
      <c r="N277" s="127">
        <f t="shared" si="70"/>
        <v>2</v>
      </c>
      <c r="O277" s="127">
        <f t="shared" si="70"/>
        <v>3</v>
      </c>
      <c r="P277" s="127">
        <f t="shared" si="70"/>
        <v>4</v>
      </c>
      <c r="Q277" s="127">
        <f t="shared" si="70"/>
        <v>3</v>
      </c>
      <c r="R277" s="127">
        <f t="shared" si="70"/>
        <v>0</v>
      </c>
      <c r="S277" s="127">
        <f t="shared" si="70"/>
        <v>1</v>
      </c>
      <c r="T277" s="127">
        <f t="shared" si="70"/>
        <v>0</v>
      </c>
      <c r="U277" s="127">
        <f t="shared" si="70"/>
        <v>5</v>
      </c>
      <c r="V277" s="127">
        <f t="shared" si="70"/>
        <v>11</v>
      </c>
      <c r="W277" s="127">
        <f t="shared" si="70"/>
        <v>15</v>
      </c>
      <c r="X277" s="128">
        <f t="shared" si="70"/>
        <v>15</v>
      </c>
    </row>
    <row r="278" ht="15.75" customHeight="1">
      <c r="A278" s="109">
        <v>23.0</v>
      </c>
      <c r="B278" s="110">
        <v>45847.0</v>
      </c>
      <c r="C278" s="111">
        <v>0.8333333333333334</v>
      </c>
      <c r="D278" s="112" t="s">
        <v>54</v>
      </c>
      <c r="E278" s="112" t="s">
        <v>67</v>
      </c>
      <c r="F278" s="112" t="s">
        <v>28</v>
      </c>
      <c r="G278" s="118">
        <v>1.0</v>
      </c>
      <c r="H278" s="115">
        <f t="shared" si="61"/>
        <v>4</v>
      </c>
      <c r="I278" s="116">
        <f t="shared" si="62"/>
        <v>3</v>
      </c>
      <c r="J278" s="116">
        <f t="shared" si="63"/>
        <v>2</v>
      </c>
      <c r="K278" s="117">
        <v>1.0</v>
      </c>
      <c r="L278" s="118">
        <v>0.0</v>
      </c>
      <c r="M278" s="118">
        <v>1.0</v>
      </c>
      <c r="N278" s="118">
        <v>0.0</v>
      </c>
      <c r="O278" s="118">
        <v>0.0</v>
      </c>
      <c r="P278" s="118">
        <v>0.0</v>
      </c>
      <c r="Q278" s="118">
        <v>1.0</v>
      </c>
      <c r="R278" s="118">
        <v>0.0</v>
      </c>
      <c r="S278" s="118">
        <v>0.0</v>
      </c>
      <c r="T278" s="118">
        <v>0.0</v>
      </c>
      <c r="U278" s="118">
        <v>0.0</v>
      </c>
      <c r="V278" s="118">
        <v>1.0</v>
      </c>
      <c r="W278" s="118">
        <v>3.0</v>
      </c>
      <c r="X278" s="119">
        <v>0.0</v>
      </c>
    </row>
    <row r="279" ht="15.75" customHeight="1">
      <c r="A279" s="109">
        <v>23.0</v>
      </c>
      <c r="B279" s="99">
        <v>45847.0</v>
      </c>
      <c r="C279" s="100">
        <v>0.8333333333333334</v>
      </c>
      <c r="D279" s="101" t="s">
        <v>54</v>
      </c>
      <c r="E279" s="101" t="s">
        <v>67</v>
      </c>
      <c r="F279" s="101" t="s">
        <v>26</v>
      </c>
      <c r="G279" s="107">
        <v>2.0</v>
      </c>
      <c r="H279" s="104">
        <f t="shared" si="61"/>
        <v>4</v>
      </c>
      <c r="I279" s="105">
        <f t="shared" si="62"/>
        <v>3</v>
      </c>
      <c r="J279" s="105">
        <f t="shared" si="63"/>
        <v>3</v>
      </c>
      <c r="K279" s="106">
        <v>2.0</v>
      </c>
      <c r="L279" s="107">
        <v>0.0</v>
      </c>
      <c r="M279" s="107">
        <v>0.0</v>
      </c>
      <c r="N279" s="107">
        <v>1.0</v>
      </c>
      <c r="O279" s="107">
        <v>0.0</v>
      </c>
      <c r="P279" s="107">
        <v>0.0</v>
      </c>
      <c r="Q279" s="107">
        <v>0.0</v>
      </c>
      <c r="R279" s="107">
        <v>1.0</v>
      </c>
      <c r="S279" s="107">
        <v>0.0</v>
      </c>
      <c r="T279" s="107">
        <v>0.0</v>
      </c>
      <c r="U279" s="107">
        <v>0.0</v>
      </c>
      <c r="V279" s="107">
        <v>0.0</v>
      </c>
      <c r="W279" s="107">
        <v>3.0</v>
      </c>
      <c r="X279" s="108">
        <v>4.0</v>
      </c>
    </row>
    <row r="280" ht="15.75" customHeight="1">
      <c r="A280" s="109">
        <v>23.0</v>
      </c>
      <c r="B280" s="110">
        <v>45847.0</v>
      </c>
      <c r="C280" s="111">
        <v>0.8333333333333334</v>
      </c>
      <c r="D280" s="112" t="s">
        <v>54</v>
      </c>
      <c r="E280" s="112" t="s">
        <v>67</v>
      </c>
      <c r="F280" s="112" t="s">
        <v>32</v>
      </c>
      <c r="G280" s="118">
        <v>3.0</v>
      </c>
      <c r="H280" s="115">
        <f t="shared" si="61"/>
        <v>4</v>
      </c>
      <c r="I280" s="116">
        <f t="shared" si="62"/>
        <v>3</v>
      </c>
      <c r="J280" s="116">
        <f t="shared" si="63"/>
        <v>1</v>
      </c>
      <c r="K280" s="117">
        <v>1.0</v>
      </c>
      <c r="L280" s="118">
        <v>0.0</v>
      </c>
      <c r="M280" s="118">
        <v>0.0</v>
      </c>
      <c r="N280" s="118">
        <v>0.0</v>
      </c>
      <c r="O280" s="118">
        <v>0.0</v>
      </c>
      <c r="P280" s="118">
        <v>0.0</v>
      </c>
      <c r="Q280" s="118">
        <v>1.0</v>
      </c>
      <c r="R280" s="118">
        <v>0.0</v>
      </c>
      <c r="S280" s="118">
        <v>0.0</v>
      </c>
      <c r="T280" s="118">
        <v>0.0</v>
      </c>
      <c r="U280" s="118">
        <v>0.0</v>
      </c>
      <c r="V280" s="118">
        <v>2.0</v>
      </c>
      <c r="W280" s="118">
        <v>2.0</v>
      </c>
      <c r="X280" s="119">
        <v>0.0</v>
      </c>
    </row>
    <row r="281" ht="15.75" customHeight="1">
      <c r="A281" s="109">
        <v>23.0</v>
      </c>
      <c r="B281" s="99">
        <v>45847.0</v>
      </c>
      <c r="C281" s="100">
        <v>0.8333333333333334</v>
      </c>
      <c r="D281" s="101" t="s">
        <v>54</v>
      </c>
      <c r="E281" s="101" t="s">
        <v>67</v>
      </c>
      <c r="F281" s="101" t="s">
        <v>30</v>
      </c>
      <c r="G281" s="107">
        <v>4.0</v>
      </c>
      <c r="H281" s="104">
        <f t="shared" si="61"/>
        <v>4</v>
      </c>
      <c r="I281" s="105">
        <f t="shared" si="62"/>
        <v>4</v>
      </c>
      <c r="J281" s="105">
        <f t="shared" si="63"/>
        <v>4</v>
      </c>
      <c r="K281" s="106">
        <v>1.0</v>
      </c>
      <c r="L281" s="107">
        <v>0.0</v>
      </c>
      <c r="M281" s="107">
        <v>0.0</v>
      </c>
      <c r="N281" s="107">
        <v>0.0</v>
      </c>
      <c r="O281" s="107">
        <v>3.0</v>
      </c>
      <c r="P281" s="107">
        <v>0.0</v>
      </c>
      <c r="Q281" s="107">
        <v>0.0</v>
      </c>
      <c r="R281" s="107">
        <v>0.0</v>
      </c>
      <c r="S281" s="107">
        <v>0.0</v>
      </c>
      <c r="T281" s="107">
        <v>0.0</v>
      </c>
      <c r="U281" s="107">
        <v>0.0</v>
      </c>
      <c r="V281" s="107">
        <v>0.0</v>
      </c>
      <c r="W281" s="107">
        <v>2.0</v>
      </c>
      <c r="X281" s="108">
        <v>8.0</v>
      </c>
    </row>
    <row r="282" ht="15.75" customHeight="1">
      <c r="A282" s="109">
        <v>23.0</v>
      </c>
      <c r="B282" s="110">
        <v>45847.0</v>
      </c>
      <c r="C282" s="111">
        <v>0.8333333333333334</v>
      </c>
      <c r="D282" s="112" t="s">
        <v>54</v>
      </c>
      <c r="E282" s="112" t="s">
        <v>67</v>
      </c>
      <c r="F282" s="101" t="s">
        <v>33</v>
      </c>
      <c r="G282" s="118">
        <v>5.0</v>
      </c>
      <c r="H282" s="104">
        <f t="shared" si="61"/>
        <v>4</v>
      </c>
      <c r="I282" s="105">
        <f t="shared" si="62"/>
        <v>3</v>
      </c>
      <c r="J282" s="105">
        <f t="shared" si="63"/>
        <v>1</v>
      </c>
      <c r="K282" s="106">
        <v>1.0</v>
      </c>
      <c r="L282" s="107">
        <v>0.0</v>
      </c>
      <c r="M282" s="107">
        <v>0.0</v>
      </c>
      <c r="N282" s="107">
        <v>0.0</v>
      </c>
      <c r="O282" s="107">
        <v>0.0</v>
      </c>
      <c r="P282" s="107">
        <v>1.0</v>
      </c>
      <c r="Q282" s="107">
        <v>1.0</v>
      </c>
      <c r="R282" s="107">
        <v>0.0</v>
      </c>
      <c r="S282" s="107">
        <v>0.0</v>
      </c>
      <c r="T282" s="107">
        <v>0.0</v>
      </c>
      <c r="U282" s="107">
        <v>0.0</v>
      </c>
      <c r="V282" s="107">
        <v>1.0</v>
      </c>
      <c r="W282" s="107">
        <v>2.0</v>
      </c>
      <c r="X282" s="108">
        <v>0.0</v>
      </c>
    </row>
    <row r="283" ht="15.75" customHeight="1">
      <c r="A283" s="109">
        <v>23.0</v>
      </c>
      <c r="B283" s="99">
        <v>45847.0</v>
      </c>
      <c r="C283" s="100">
        <v>0.8333333333333334</v>
      </c>
      <c r="D283" s="101" t="s">
        <v>54</v>
      </c>
      <c r="E283" s="112" t="s">
        <v>67</v>
      </c>
      <c r="F283" s="112" t="s">
        <v>29</v>
      </c>
      <c r="G283" s="107">
        <v>6.0</v>
      </c>
      <c r="H283" s="115">
        <f t="shared" si="61"/>
        <v>4</v>
      </c>
      <c r="I283" s="116">
        <f t="shared" si="62"/>
        <v>4</v>
      </c>
      <c r="J283" s="116">
        <f t="shared" si="63"/>
        <v>3</v>
      </c>
      <c r="K283" s="117">
        <v>3.0</v>
      </c>
      <c r="L283" s="118">
        <v>0.0</v>
      </c>
      <c r="M283" s="118">
        <v>0.0</v>
      </c>
      <c r="N283" s="118">
        <v>0.0</v>
      </c>
      <c r="O283" s="118">
        <v>0.0</v>
      </c>
      <c r="P283" s="118">
        <v>0.0</v>
      </c>
      <c r="Q283" s="118">
        <v>0.0</v>
      </c>
      <c r="R283" s="118">
        <v>0.0</v>
      </c>
      <c r="S283" s="118">
        <v>0.0</v>
      </c>
      <c r="T283" s="118">
        <v>0.0</v>
      </c>
      <c r="U283" s="118">
        <v>0.0</v>
      </c>
      <c r="V283" s="118">
        <v>1.0</v>
      </c>
      <c r="W283" s="118">
        <v>1.0</v>
      </c>
      <c r="X283" s="119">
        <v>0.0</v>
      </c>
    </row>
    <row r="284" ht="15.75" customHeight="1">
      <c r="A284" s="109">
        <v>23.0</v>
      </c>
      <c r="B284" s="110">
        <v>45847.0</v>
      </c>
      <c r="C284" s="111">
        <v>0.8333333333333334</v>
      </c>
      <c r="D284" s="112" t="s">
        <v>54</v>
      </c>
      <c r="E284" s="112" t="s">
        <v>67</v>
      </c>
      <c r="F284" s="112" t="s">
        <v>37</v>
      </c>
      <c r="G284" s="118">
        <v>7.0</v>
      </c>
      <c r="H284" s="115">
        <f t="shared" si="61"/>
        <v>4</v>
      </c>
      <c r="I284" s="116">
        <f t="shared" si="62"/>
        <v>4</v>
      </c>
      <c r="J284" s="116">
        <f t="shared" si="63"/>
        <v>2</v>
      </c>
      <c r="K284" s="117">
        <v>1.0</v>
      </c>
      <c r="L284" s="118">
        <v>1.0</v>
      </c>
      <c r="M284" s="118">
        <v>0.0</v>
      </c>
      <c r="N284" s="118">
        <v>0.0</v>
      </c>
      <c r="O284" s="118">
        <v>0.0</v>
      </c>
      <c r="P284" s="118">
        <v>0.0</v>
      </c>
      <c r="Q284" s="118">
        <v>0.0</v>
      </c>
      <c r="R284" s="118">
        <v>0.0</v>
      </c>
      <c r="S284" s="118">
        <v>0.0</v>
      </c>
      <c r="T284" s="118">
        <v>0.0</v>
      </c>
      <c r="U284" s="118">
        <v>1.0</v>
      </c>
      <c r="V284" s="118">
        <v>1.0</v>
      </c>
      <c r="W284" s="118">
        <v>1.0</v>
      </c>
      <c r="X284" s="119">
        <v>3.0</v>
      </c>
    </row>
    <row r="285" ht="15.75" customHeight="1">
      <c r="A285" s="109">
        <v>23.0</v>
      </c>
      <c r="B285" s="99">
        <v>45847.0</v>
      </c>
      <c r="C285" s="100">
        <v>0.8333333333333334</v>
      </c>
      <c r="D285" s="101" t="s">
        <v>54</v>
      </c>
      <c r="E285" s="112" t="s">
        <v>67</v>
      </c>
      <c r="F285" s="133" t="s">
        <v>31</v>
      </c>
      <c r="G285" s="107">
        <v>8.0</v>
      </c>
      <c r="H285" s="134">
        <f t="shared" si="61"/>
        <v>4</v>
      </c>
      <c r="I285" s="135">
        <f t="shared" si="62"/>
        <v>4</v>
      </c>
      <c r="J285" s="135">
        <f t="shared" si="63"/>
        <v>2</v>
      </c>
      <c r="K285" s="136">
        <v>1.0</v>
      </c>
      <c r="L285" s="137">
        <v>0.0</v>
      </c>
      <c r="M285" s="137">
        <v>1.0</v>
      </c>
      <c r="N285" s="137">
        <v>0.0</v>
      </c>
      <c r="O285" s="137">
        <v>0.0</v>
      </c>
      <c r="P285" s="137">
        <v>0.0</v>
      </c>
      <c r="Q285" s="137">
        <v>0.0</v>
      </c>
      <c r="R285" s="137">
        <v>0.0</v>
      </c>
      <c r="S285" s="137">
        <v>0.0</v>
      </c>
      <c r="T285" s="137">
        <v>0.0</v>
      </c>
      <c r="U285" s="137">
        <v>0.0</v>
      </c>
      <c r="V285" s="137">
        <v>2.0</v>
      </c>
      <c r="W285" s="137">
        <v>2.0</v>
      </c>
      <c r="X285" s="138">
        <v>1.0</v>
      </c>
    </row>
    <row r="286" ht="15.75" customHeight="1">
      <c r="A286" s="109">
        <v>23.0</v>
      </c>
      <c r="B286" s="110">
        <v>45847.0</v>
      </c>
      <c r="C286" s="111">
        <v>0.8333333333333334</v>
      </c>
      <c r="D286" s="112" t="s">
        <v>54</v>
      </c>
      <c r="E286" s="112" t="s">
        <v>67</v>
      </c>
      <c r="F286" s="101" t="s">
        <v>36</v>
      </c>
      <c r="G286" s="118">
        <v>9.0</v>
      </c>
      <c r="H286" s="104">
        <f t="shared" si="61"/>
        <v>4</v>
      </c>
      <c r="I286" s="105">
        <f t="shared" si="62"/>
        <v>3</v>
      </c>
      <c r="J286" s="105">
        <f t="shared" si="63"/>
        <v>1</v>
      </c>
      <c r="K286" s="106">
        <v>1.0</v>
      </c>
      <c r="L286" s="107">
        <v>0.0</v>
      </c>
      <c r="M286" s="107">
        <v>0.0</v>
      </c>
      <c r="N286" s="107">
        <v>0.0</v>
      </c>
      <c r="O286" s="107">
        <v>0.0</v>
      </c>
      <c r="P286" s="107">
        <v>0.0</v>
      </c>
      <c r="Q286" s="107">
        <v>0.0</v>
      </c>
      <c r="R286" s="107">
        <v>1.0</v>
      </c>
      <c r="S286" s="107">
        <v>0.0</v>
      </c>
      <c r="T286" s="107">
        <v>0.0</v>
      </c>
      <c r="U286" s="107">
        <v>1.0</v>
      </c>
      <c r="V286" s="107">
        <v>1.0</v>
      </c>
      <c r="W286" s="107">
        <v>1.0</v>
      </c>
      <c r="X286" s="108">
        <v>1.0</v>
      </c>
    </row>
    <row r="287" ht="15.75" customHeight="1">
      <c r="A287" s="109">
        <v>23.0</v>
      </c>
      <c r="B287" s="99">
        <v>45847.0</v>
      </c>
      <c r="C287" s="100">
        <v>0.8333333333333334</v>
      </c>
      <c r="D287" s="101" t="s">
        <v>54</v>
      </c>
      <c r="E287" s="112" t="s">
        <v>67</v>
      </c>
      <c r="F287" s="112" t="s">
        <v>38</v>
      </c>
      <c r="G287" s="107">
        <v>10.0</v>
      </c>
      <c r="H287" s="115">
        <f t="shared" si="61"/>
        <v>3</v>
      </c>
      <c r="I287" s="116">
        <f t="shared" si="62"/>
        <v>3</v>
      </c>
      <c r="J287" s="116">
        <f t="shared" si="63"/>
        <v>3</v>
      </c>
      <c r="K287" s="117">
        <v>3.0</v>
      </c>
      <c r="L287" s="118">
        <v>0.0</v>
      </c>
      <c r="M287" s="118">
        <v>0.0</v>
      </c>
      <c r="N287" s="118">
        <v>0.0</v>
      </c>
      <c r="O287" s="118">
        <v>0.0</v>
      </c>
      <c r="P287" s="118">
        <v>0.0</v>
      </c>
      <c r="Q287" s="118">
        <v>0.0</v>
      </c>
      <c r="R287" s="118">
        <v>0.0</v>
      </c>
      <c r="S287" s="118">
        <v>0.0</v>
      </c>
      <c r="T287" s="118">
        <v>0.0</v>
      </c>
      <c r="U287" s="118">
        <v>0.0</v>
      </c>
      <c r="V287" s="118">
        <v>0.0</v>
      </c>
      <c r="W287" s="118">
        <v>1.0</v>
      </c>
      <c r="X287" s="119">
        <v>0.0</v>
      </c>
    </row>
    <row r="288" ht="15.75" customHeight="1">
      <c r="A288" s="109">
        <v>23.0</v>
      </c>
      <c r="B288" s="110">
        <v>45847.0</v>
      </c>
      <c r="C288" s="100">
        <v>0.8333333333333334</v>
      </c>
      <c r="D288" s="101" t="s">
        <v>54</v>
      </c>
      <c r="E288" s="112" t="s">
        <v>67</v>
      </c>
      <c r="F288" s="112" t="s">
        <v>39</v>
      </c>
      <c r="G288" s="118">
        <v>11.0</v>
      </c>
      <c r="H288" s="115">
        <f t="shared" si="61"/>
        <v>3</v>
      </c>
      <c r="I288" s="116">
        <f t="shared" si="62"/>
        <v>2</v>
      </c>
      <c r="J288" s="116">
        <f t="shared" si="63"/>
        <v>2</v>
      </c>
      <c r="K288" s="117">
        <v>2.0</v>
      </c>
      <c r="L288" s="118">
        <v>0.0</v>
      </c>
      <c r="M288" s="118">
        <v>0.0</v>
      </c>
      <c r="N288" s="118">
        <v>0.0</v>
      </c>
      <c r="O288" s="118">
        <v>0.0</v>
      </c>
      <c r="P288" s="118">
        <v>0.0</v>
      </c>
      <c r="Q288" s="118">
        <v>0.0</v>
      </c>
      <c r="R288" s="118">
        <v>1.0</v>
      </c>
      <c r="S288" s="118">
        <v>0.0</v>
      </c>
      <c r="T288" s="118">
        <v>0.0</v>
      </c>
      <c r="U288" s="118">
        <v>0.0</v>
      </c>
      <c r="V288" s="118">
        <v>0.0</v>
      </c>
      <c r="W288" s="118">
        <v>1.0</v>
      </c>
      <c r="X288" s="119">
        <v>2.0</v>
      </c>
    </row>
    <row r="289" ht="15.75" customHeight="1">
      <c r="A289" s="109">
        <v>23.0</v>
      </c>
      <c r="B289" s="99">
        <v>45847.0</v>
      </c>
      <c r="C289" s="100">
        <v>0.8333333333333334</v>
      </c>
      <c r="D289" s="101" t="s">
        <v>54</v>
      </c>
      <c r="E289" s="112" t="s">
        <v>67</v>
      </c>
      <c r="F289" s="112" t="s">
        <v>40</v>
      </c>
      <c r="G289" s="107">
        <v>12.0</v>
      </c>
      <c r="H289" s="115">
        <f t="shared" si="61"/>
        <v>3</v>
      </c>
      <c r="I289" s="116">
        <f t="shared" si="62"/>
        <v>3</v>
      </c>
      <c r="J289" s="116">
        <f t="shared" si="63"/>
        <v>2</v>
      </c>
      <c r="K289" s="117">
        <v>2.0</v>
      </c>
      <c r="L289" s="118">
        <v>0.0</v>
      </c>
      <c r="M289" s="118">
        <v>0.0</v>
      </c>
      <c r="N289" s="118">
        <v>0.0</v>
      </c>
      <c r="O289" s="118">
        <v>0.0</v>
      </c>
      <c r="P289" s="118">
        <v>0.0</v>
      </c>
      <c r="Q289" s="118">
        <v>0.0</v>
      </c>
      <c r="R289" s="118">
        <v>0.0</v>
      </c>
      <c r="S289" s="118">
        <v>0.0</v>
      </c>
      <c r="T289" s="118">
        <v>0.0</v>
      </c>
      <c r="U289" s="118">
        <v>0.0</v>
      </c>
      <c r="V289" s="118">
        <v>1.0</v>
      </c>
      <c r="W289" s="118">
        <v>1.0</v>
      </c>
      <c r="X289" s="119">
        <v>1.0</v>
      </c>
    </row>
    <row r="290" ht="15.75" customHeight="1">
      <c r="A290" s="121">
        <v>23.0</v>
      </c>
      <c r="B290" s="122">
        <v>45847.0</v>
      </c>
      <c r="C290" s="123">
        <v>0.7708333333333334</v>
      </c>
      <c r="D290" s="124" t="s">
        <v>54</v>
      </c>
      <c r="E290" s="124" t="s">
        <v>67</v>
      </c>
      <c r="F290" s="124" t="s">
        <v>44</v>
      </c>
      <c r="G290" s="125"/>
      <c r="H290" s="126">
        <f t="shared" si="61"/>
        <v>45</v>
      </c>
      <c r="I290" s="127">
        <f t="shared" si="62"/>
        <v>39</v>
      </c>
      <c r="J290" s="127">
        <f t="shared" si="63"/>
        <v>26</v>
      </c>
      <c r="K290" s="126">
        <f t="shared" ref="K290:X290" si="71">SUBTOTAL(109,K278:K289)</f>
        <v>19</v>
      </c>
      <c r="L290" s="127">
        <f t="shared" si="71"/>
        <v>1</v>
      </c>
      <c r="M290" s="127">
        <f t="shared" si="71"/>
        <v>2</v>
      </c>
      <c r="N290" s="127">
        <f t="shared" si="71"/>
        <v>1</v>
      </c>
      <c r="O290" s="127">
        <f t="shared" si="71"/>
        <v>3</v>
      </c>
      <c r="P290" s="127">
        <f t="shared" si="71"/>
        <v>1</v>
      </c>
      <c r="Q290" s="127">
        <f t="shared" si="71"/>
        <v>3</v>
      </c>
      <c r="R290" s="127">
        <f t="shared" si="71"/>
        <v>3</v>
      </c>
      <c r="S290" s="127">
        <f t="shared" si="71"/>
        <v>0</v>
      </c>
      <c r="T290" s="127">
        <f t="shared" si="71"/>
        <v>0</v>
      </c>
      <c r="U290" s="127">
        <f t="shared" si="71"/>
        <v>2</v>
      </c>
      <c r="V290" s="127">
        <f t="shared" si="71"/>
        <v>10</v>
      </c>
      <c r="W290" s="127">
        <f t="shared" si="71"/>
        <v>20</v>
      </c>
      <c r="X290" s="128">
        <f t="shared" si="71"/>
        <v>20</v>
      </c>
    </row>
    <row r="291" ht="15.75" customHeight="1">
      <c r="A291" s="109">
        <v>24.0</v>
      </c>
      <c r="B291" s="110">
        <v>45851.0</v>
      </c>
      <c r="C291" s="111">
        <v>0.8333333333333334</v>
      </c>
      <c r="D291" s="112" t="s">
        <v>54</v>
      </c>
      <c r="E291" s="112" t="s">
        <v>55</v>
      </c>
      <c r="F291" s="112" t="s">
        <v>26</v>
      </c>
      <c r="G291" s="118">
        <v>1.0</v>
      </c>
      <c r="H291" s="115">
        <f t="shared" si="61"/>
        <v>3</v>
      </c>
      <c r="I291" s="116">
        <f t="shared" si="62"/>
        <v>3</v>
      </c>
      <c r="J291" s="116">
        <f t="shared" si="63"/>
        <v>2</v>
      </c>
      <c r="K291" s="117">
        <v>0.0</v>
      </c>
      <c r="L291" s="118">
        <v>2.0</v>
      </c>
      <c r="M291" s="118">
        <v>0.0</v>
      </c>
      <c r="N291" s="118">
        <v>0.0</v>
      </c>
      <c r="O291" s="118">
        <v>0.0</v>
      </c>
      <c r="P291" s="118">
        <v>0.0</v>
      </c>
      <c r="Q291" s="118">
        <v>0.0</v>
      </c>
      <c r="R291" s="118">
        <v>0.0</v>
      </c>
      <c r="S291" s="118">
        <v>0.0</v>
      </c>
      <c r="T291" s="118">
        <v>0.0</v>
      </c>
      <c r="U291" s="118">
        <v>0.0</v>
      </c>
      <c r="V291" s="118">
        <v>1.0</v>
      </c>
      <c r="W291" s="118">
        <v>1.0</v>
      </c>
      <c r="X291" s="119">
        <v>0.0</v>
      </c>
    </row>
    <row r="292" ht="15.75" customHeight="1">
      <c r="A292" s="109">
        <v>24.0</v>
      </c>
      <c r="B292" s="99">
        <v>45851.0</v>
      </c>
      <c r="C292" s="100">
        <v>0.8333333333333334</v>
      </c>
      <c r="D292" s="101" t="s">
        <v>54</v>
      </c>
      <c r="E292" s="101" t="s">
        <v>55</v>
      </c>
      <c r="F292" s="101" t="s">
        <v>32</v>
      </c>
      <c r="G292" s="107">
        <v>2.0</v>
      </c>
      <c r="H292" s="104">
        <f t="shared" si="61"/>
        <v>3</v>
      </c>
      <c r="I292" s="105">
        <f t="shared" si="62"/>
        <v>3</v>
      </c>
      <c r="J292" s="105">
        <f t="shared" si="63"/>
        <v>0</v>
      </c>
      <c r="K292" s="106">
        <v>0.0</v>
      </c>
      <c r="L292" s="107">
        <v>0.0</v>
      </c>
      <c r="M292" s="107">
        <v>0.0</v>
      </c>
      <c r="N292" s="107">
        <v>0.0</v>
      </c>
      <c r="O292" s="107">
        <v>0.0</v>
      </c>
      <c r="P292" s="107">
        <v>0.0</v>
      </c>
      <c r="Q292" s="107">
        <v>0.0</v>
      </c>
      <c r="R292" s="107">
        <v>0.0</v>
      </c>
      <c r="S292" s="107">
        <v>0.0</v>
      </c>
      <c r="T292" s="107">
        <v>0.0</v>
      </c>
      <c r="U292" s="107">
        <v>0.0</v>
      </c>
      <c r="V292" s="107">
        <v>3.0</v>
      </c>
      <c r="W292" s="107">
        <v>0.0</v>
      </c>
      <c r="X292" s="108">
        <v>0.0</v>
      </c>
    </row>
    <row r="293" ht="15.75" customHeight="1">
      <c r="A293" s="109">
        <v>24.0</v>
      </c>
      <c r="B293" s="110">
        <v>45851.0</v>
      </c>
      <c r="C293" s="111">
        <v>0.8333333333333334</v>
      </c>
      <c r="D293" s="112" t="s">
        <v>54</v>
      </c>
      <c r="E293" s="112" t="s">
        <v>55</v>
      </c>
      <c r="F293" s="112" t="s">
        <v>25</v>
      </c>
      <c r="G293" s="118">
        <v>3.0</v>
      </c>
      <c r="H293" s="115">
        <f t="shared" si="61"/>
        <v>3</v>
      </c>
      <c r="I293" s="116">
        <f t="shared" si="62"/>
        <v>2</v>
      </c>
      <c r="J293" s="116">
        <f t="shared" si="63"/>
        <v>2</v>
      </c>
      <c r="K293" s="117">
        <v>1.0</v>
      </c>
      <c r="L293" s="118">
        <v>1.0</v>
      </c>
      <c r="M293" s="118">
        <v>0.0</v>
      </c>
      <c r="N293" s="118">
        <v>0.0</v>
      </c>
      <c r="O293" s="118">
        <v>0.0</v>
      </c>
      <c r="P293" s="118">
        <v>0.0</v>
      </c>
      <c r="Q293" s="118">
        <v>0.0</v>
      </c>
      <c r="R293" s="118">
        <v>1.0</v>
      </c>
      <c r="S293" s="118">
        <v>0.0</v>
      </c>
      <c r="T293" s="118">
        <v>0.0</v>
      </c>
      <c r="U293" s="118">
        <v>0.0</v>
      </c>
      <c r="V293" s="118">
        <v>0.0</v>
      </c>
      <c r="W293" s="118">
        <v>1.0</v>
      </c>
      <c r="X293" s="119">
        <v>1.0</v>
      </c>
    </row>
    <row r="294" ht="15.75" customHeight="1">
      <c r="A294" s="109">
        <v>24.0</v>
      </c>
      <c r="B294" s="99">
        <v>45851.0</v>
      </c>
      <c r="C294" s="100">
        <v>0.8333333333333334</v>
      </c>
      <c r="D294" s="101" t="s">
        <v>54</v>
      </c>
      <c r="E294" s="101" t="s">
        <v>55</v>
      </c>
      <c r="F294" s="101" t="s">
        <v>30</v>
      </c>
      <c r="G294" s="107">
        <v>4.0</v>
      </c>
      <c r="H294" s="104">
        <f t="shared" si="61"/>
        <v>3</v>
      </c>
      <c r="I294" s="105">
        <f t="shared" si="62"/>
        <v>3</v>
      </c>
      <c r="J294" s="105">
        <f t="shared" si="63"/>
        <v>0</v>
      </c>
      <c r="K294" s="106">
        <v>0.0</v>
      </c>
      <c r="L294" s="107">
        <v>0.0</v>
      </c>
      <c r="M294" s="107">
        <v>0.0</v>
      </c>
      <c r="N294" s="107">
        <v>0.0</v>
      </c>
      <c r="O294" s="107">
        <v>0.0</v>
      </c>
      <c r="P294" s="107">
        <v>0.0</v>
      </c>
      <c r="Q294" s="107">
        <v>0.0</v>
      </c>
      <c r="R294" s="107">
        <v>0.0</v>
      </c>
      <c r="S294" s="107">
        <v>0.0</v>
      </c>
      <c r="T294" s="107">
        <v>0.0</v>
      </c>
      <c r="U294" s="107">
        <v>0.0</v>
      </c>
      <c r="V294" s="107">
        <v>3.0</v>
      </c>
      <c r="W294" s="107">
        <v>0.0</v>
      </c>
      <c r="X294" s="108">
        <v>0.0</v>
      </c>
    </row>
    <row r="295" ht="15.75" customHeight="1">
      <c r="A295" s="109">
        <v>24.0</v>
      </c>
      <c r="B295" s="110">
        <v>45851.0</v>
      </c>
      <c r="C295" s="111">
        <v>0.8333333333333334</v>
      </c>
      <c r="D295" s="112" t="s">
        <v>54</v>
      </c>
      <c r="E295" s="112" t="s">
        <v>55</v>
      </c>
      <c r="F295" s="101" t="s">
        <v>33</v>
      </c>
      <c r="G295" s="118">
        <v>5.0</v>
      </c>
      <c r="H295" s="104">
        <f t="shared" si="61"/>
        <v>3</v>
      </c>
      <c r="I295" s="105">
        <f t="shared" si="62"/>
        <v>3</v>
      </c>
      <c r="J295" s="105">
        <f t="shared" si="63"/>
        <v>1</v>
      </c>
      <c r="K295" s="106">
        <v>1.0</v>
      </c>
      <c r="L295" s="107">
        <v>0.0</v>
      </c>
      <c r="M295" s="107">
        <v>0.0</v>
      </c>
      <c r="N295" s="107">
        <v>0.0</v>
      </c>
      <c r="O295" s="107">
        <v>0.0</v>
      </c>
      <c r="P295" s="107">
        <v>0.0</v>
      </c>
      <c r="Q295" s="107">
        <v>0.0</v>
      </c>
      <c r="R295" s="107">
        <v>0.0</v>
      </c>
      <c r="S295" s="107">
        <v>0.0</v>
      </c>
      <c r="T295" s="107">
        <v>0.0</v>
      </c>
      <c r="U295" s="107">
        <v>0.0</v>
      </c>
      <c r="V295" s="107">
        <v>2.0</v>
      </c>
      <c r="W295" s="107">
        <v>1.0</v>
      </c>
      <c r="X295" s="108">
        <v>0.0</v>
      </c>
    </row>
    <row r="296" ht="15.75" customHeight="1">
      <c r="A296" s="109">
        <v>24.0</v>
      </c>
      <c r="B296" s="99">
        <v>45851.0</v>
      </c>
      <c r="C296" s="100">
        <v>0.8333333333333334</v>
      </c>
      <c r="D296" s="101" t="s">
        <v>54</v>
      </c>
      <c r="E296" s="112" t="s">
        <v>55</v>
      </c>
      <c r="F296" s="112" t="s">
        <v>28</v>
      </c>
      <c r="G296" s="107">
        <v>6.0</v>
      </c>
      <c r="H296" s="115">
        <f t="shared" si="61"/>
        <v>3</v>
      </c>
      <c r="I296" s="116">
        <f t="shared" si="62"/>
        <v>3</v>
      </c>
      <c r="J296" s="116">
        <f t="shared" si="63"/>
        <v>1</v>
      </c>
      <c r="K296" s="117">
        <v>1.0</v>
      </c>
      <c r="L296" s="118">
        <v>0.0</v>
      </c>
      <c r="M296" s="118">
        <v>0.0</v>
      </c>
      <c r="N296" s="118">
        <v>0.0</v>
      </c>
      <c r="O296" s="118">
        <v>0.0</v>
      </c>
      <c r="P296" s="118">
        <v>0.0</v>
      </c>
      <c r="Q296" s="118">
        <v>0.0</v>
      </c>
      <c r="R296" s="118">
        <v>0.0</v>
      </c>
      <c r="S296" s="118">
        <v>0.0</v>
      </c>
      <c r="T296" s="118">
        <v>0.0</v>
      </c>
      <c r="U296" s="118">
        <v>0.0</v>
      </c>
      <c r="V296" s="118">
        <v>2.0</v>
      </c>
      <c r="W296" s="118">
        <v>1.0</v>
      </c>
      <c r="X296" s="119">
        <v>1.0</v>
      </c>
    </row>
    <row r="297" ht="15.75" customHeight="1">
      <c r="A297" s="109">
        <v>24.0</v>
      </c>
      <c r="B297" s="110">
        <v>45851.0</v>
      </c>
      <c r="C297" s="111">
        <v>0.8333333333333334</v>
      </c>
      <c r="D297" s="112" t="s">
        <v>54</v>
      </c>
      <c r="E297" s="112" t="s">
        <v>55</v>
      </c>
      <c r="F297" s="112" t="s">
        <v>29</v>
      </c>
      <c r="G297" s="118">
        <v>7.0</v>
      </c>
      <c r="H297" s="115">
        <f t="shared" si="61"/>
        <v>3</v>
      </c>
      <c r="I297" s="116">
        <f t="shared" si="62"/>
        <v>3</v>
      </c>
      <c r="J297" s="116">
        <f t="shared" si="63"/>
        <v>2</v>
      </c>
      <c r="K297" s="117">
        <v>2.0</v>
      </c>
      <c r="L297" s="118">
        <v>0.0</v>
      </c>
      <c r="M297" s="118">
        <v>0.0</v>
      </c>
      <c r="N297" s="118">
        <v>0.0</v>
      </c>
      <c r="O297" s="118">
        <v>0.0</v>
      </c>
      <c r="P297" s="118">
        <v>0.0</v>
      </c>
      <c r="Q297" s="118">
        <v>0.0</v>
      </c>
      <c r="R297" s="118">
        <v>0.0</v>
      </c>
      <c r="S297" s="118">
        <v>0.0</v>
      </c>
      <c r="T297" s="118">
        <v>0.0</v>
      </c>
      <c r="U297" s="118">
        <v>0.0</v>
      </c>
      <c r="V297" s="118">
        <v>1.0</v>
      </c>
      <c r="W297" s="118">
        <v>0.0</v>
      </c>
      <c r="X297" s="119">
        <v>1.0</v>
      </c>
    </row>
    <row r="298" ht="15.75" customHeight="1">
      <c r="A298" s="109">
        <v>24.0</v>
      </c>
      <c r="B298" s="99">
        <v>45851.0</v>
      </c>
      <c r="C298" s="100">
        <v>0.8333333333333334</v>
      </c>
      <c r="D298" s="101" t="s">
        <v>54</v>
      </c>
      <c r="E298" s="112" t="s">
        <v>55</v>
      </c>
      <c r="F298" s="133" t="s">
        <v>27</v>
      </c>
      <c r="G298" s="107">
        <v>8.0</v>
      </c>
      <c r="H298" s="134">
        <f t="shared" si="61"/>
        <v>3</v>
      </c>
      <c r="I298" s="135">
        <f t="shared" si="62"/>
        <v>3</v>
      </c>
      <c r="J298" s="135">
        <f t="shared" si="63"/>
        <v>2</v>
      </c>
      <c r="K298" s="136">
        <v>2.0</v>
      </c>
      <c r="L298" s="137">
        <v>0.0</v>
      </c>
      <c r="M298" s="137">
        <v>0.0</v>
      </c>
      <c r="N298" s="137">
        <v>0.0</v>
      </c>
      <c r="O298" s="137">
        <v>0.0</v>
      </c>
      <c r="P298" s="137">
        <v>0.0</v>
      </c>
      <c r="Q298" s="137">
        <v>0.0</v>
      </c>
      <c r="R298" s="137">
        <v>0.0</v>
      </c>
      <c r="S298" s="137">
        <v>0.0</v>
      </c>
      <c r="T298" s="137">
        <v>0.0</v>
      </c>
      <c r="U298" s="137">
        <v>0.0</v>
      </c>
      <c r="V298" s="137">
        <v>1.0</v>
      </c>
      <c r="W298" s="137">
        <v>1.0</v>
      </c>
      <c r="X298" s="138">
        <v>0.0</v>
      </c>
    </row>
    <row r="299" ht="15.75" customHeight="1">
      <c r="A299" s="109">
        <v>24.0</v>
      </c>
      <c r="B299" s="110">
        <v>45851.0</v>
      </c>
      <c r="C299" s="111">
        <v>0.8333333333333334</v>
      </c>
      <c r="D299" s="112" t="s">
        <v>54</v>
      </c>
      <c r="E299" s="112" t="s">
        <v>55</v>
      </c>
      <c r="F299" s="101" t="s">
        <v>38</v>
      </c>
      <c r="G299" s="118">
        <v>9.0</v>
      </c>
      <c r="H299" s="104">
        <f t="shared" si="61"/>
        <v>3</v>
      </c>
      <c r="I299" s="105">
        <f t="shared" si="62"/>
        <v>3</v>
      </c>
      <c r="J299" s="105">
        <f t="shared" si="63"/>
        <v>1</v>
      </c>
      <c r="K299" s="106">
        <v>1.0</v>
      </c>
      <c r="L299" s="107">
        <v>0.0</v>
      </c>
      <c r="M299" s="107">
        <v>0.0</v>
      </c>
      <c r="N299" s="107">
        <v>0.0</v>
      </c>
      <c r="O299" s="107">
        <v>0.0</v>
      </c>
      <c r="P299" s="107">
        <v>0.0</v>
      </c>
      <c r="Q299" s="107">
        <v>0.0</v>
      </c>
      <c r="R299" s="107">
        <v>0.0</v>
      </c>
      <c r="S299" s="107">
        <v>0.0</v>
      </c>
      <c r="T299" s="107">
        <v>0.0</v>
      </c>
      <c r="U299" s="107">
        <v>0.0</v>
      </c>
      <c r="V299" s="107">
        <v>2.0</v>
      </c>
      <c r="W299" s="107">
        <v>0.0</v>
      </c>
      <c r="X299" s="108">
        <v>1.0</v>
      </c>
    </row>
    <row r="300" ht="15.75" customHeight="1">
      <c r="A300" s="109">
        <v>24.0</v>
      </c>
      <c r="B300" s="99">
        <v>45851.0</v>
      </c>
      <c r="C300" s="100">
        <v>0.8333333333333334</v>
      </c>
      <c r="D300" s="101" t="s">
        <v>54</v>
      </c>
      <c r="E300" s="112" t="s">
        <v>55</v>
      </c>
      <c r="F300" s="112" t="s">
        <v>34</v>
      </c>
      <c r="G300" s="107">
        <v>10.0</v>
      </c>
      <c r="H300" s="115">
        <f t="shared" si="61"/>
        <v>3</v>
      </c>
      <c r="I300" s="116">
        <f t="shared" si="62"/>
        <v>3</v>
      </c>
      <c r="J300" s="116">
        <f t="shared" si="63"/>
        <v>3</v>
      </c>
      <c r="K300" s="117">
        <v>2.0</v>
      </c>
      <c r="L300" s="118">
        <v>0.0</v>
      </c>
      <c r="M300" s="118">
        <v>1.0</v>
      </c>
      <c r="N300" s="118">
        <v>0.0</v>
      </c>
      <c r="O300" s="118">
        <v>0.0</v>
      </c>
      <c r="P300" s="118">
        <v>0.0</v>
      </c>
      <c r="Q300" s="118">
        <v>0.0</v>
      </c>
      <c r="R300" s="118">
        <v>0.0</v>
      </c>
      <c r="S300" s="118">
        <v>0.0</v>
      </c>
      <c r="T300" s="118">
        <v>0.0</v>
      </c>
      <c r="U300" s="118">
        <v>0.0</v>
      </c>
      <c r="V300" s="118">
        <v>0.0</v>
      </c>
      <c r="W300" s="118">
        <v>0.0</v>
      </c>
      <c r="X300" s="119">
        <v>1.0</v>
      </c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ht="15.75" customHeight="1">
      <c r="A301" s="109">
        <v>24.0</v>
      </c>
      <c r="B301" s="110">
        <v>45851.0</v>
      </c>
      <c r="C301" s="100">
        <v>0.8333333333333334</v>
      </c>
      <c r="D301" s="101" t="s">
        <v>54</v>
      </c>
      <c r="E301" s="112" t="s">
        <v>55</v>
      </c>
      <c r="F301" s="112" t="s">
        <v>36</v>
      </c>
      <c r="G301" s="118">
        <v>11.0</v>
      </c>
      <c r="H301" s="115">
        <f t="shared" si="61"/>
        <v>3</v>
      </c>
      <c r="I301" s="116">
        <f t="shared" si="62"/>
        <v>3</v>
      </c>
      <c r="J301" s="116">
        <f t="shared" si="63"/>
        <v>0</v>
      </c>
      <c r="K301" s="117">
        <v>0.0</v>
      </c>
      <c r="L301" s="118">
        <v>0.0</v>
      </c>
      <c r="M301" s="118">
        <v>0.0</v>
      </c>
      <c r="N301" s="118">
        <v>0.0</v>
      </c>
      <c r="O301" s="118">
        <v>0.0</v>
      </c>
      <c r="P301" s="118">
        <v>0.0</v>
      </c>
      <c r="Q301" s="118">
        <v>0.0</v>
      </c>
      <c r="R301" s="118">
        <v>0.0</v>
      </c>
      <c r="S301" s="118">
        <v>0.0</v>
      </c>
      <c r="T301" s="118">
        <v>0.0</v>
      </c>
      <c r="U301" s="118">
        <v>0.0</v>
      </c>
      <c r="V301" s="118">
        <v>3.0</v>
      </c>
      <c r="W301" s="118">
        <v>0.0</v>
      </c>
      <c r="X301" s="119">
        <v>0.0</v>
      </c>
    </row>
    <row r="302" ht="15.75" customHeight="1">
      <c r="A302" s="109">
        <v>24.0</v>
      </c>
      <c r="B302" s="99">
        <v>45851.0</v>
      </c>
      <c r="C302" s="100">
        <v>0.8333333333333334</v>
      </c>
      <c r="D302" s="101" t="s">
        <v>54</v>
      </c>
      <c r="E302" s="112" t="s">
        <v>55</v>
      </c>
      <c r="F302" s="112" t="s">
        <v>39</v>
      </c>
      <c r="G302" s="107">
        <v>12.0</v>
      </c>
      <c r="H302" s="115">
        <f t="shared" si="61"/>
        <v>2</v>
      </c>
      <c r="I302" s="116">
        <f t="shared" si="62"/>
        <v>2</v>
      </c>
      <c r="J302" s="116">
        <f t="shared" si="63"/>
        <v>0</v>
      </c>
      <c r="K302" s="117">
        <v>0.0</v>
      </c>
      <c r="L302" s="118">
        <v>0.0</v>
      </c>
      <c r="M302" s="118">
        <v>0.0</v>
      </c>
      <c r="N302" s="118">
        <v>0.0</v>
      </c>
      <c r="O302" s="118">
        <v>0.0</v>
      </c>
      <c r="P302" s="118">
        <v>0.0</v>
      </c>
      <c r="Q302" s="118">
        <v>0.0</v>
      </c>
      <c r="R302" s="118">
        <v>0.0</v>
      </c>
      <c r="S302" s="118">
        <v>0.0</v>
      </c>
      <c r="T302" s="118">
        <v>0.0</v>
      </c>
      <c r="U302" s="118">
        <v>0.0</v>
      </c>
      <c r="V302" s="118">
        <v>2.0</v>
      </c>
      <c r="W302" s="118">
        <v>0.0</v>
      </c>
      <c r="X302" s="119">
        <v>0.0</v>
      </c>
    </row>
    <row r="303" ht="15.75" customHeight="1">
      <c r="A303" s="121">
        <v>24.0</v>
      </c>
      <c r="B303" s="122">
        <v>45851.0</v>
      </c>
      <c r="C303" s="123">
        <v>0.7708333333333334</v>
      </c>
      <c r="D303" s="124" t="s">
        <v>54</v>
      </c>
      <c r="E303" s="124" t="s">
        <v>55</v>
      </c>
      <c r="F303" s="124" t="s">
        <v>44</v>
      </c>
      <c r="G303" s="125"/>
      <c r="H303" s="126">
        <f t="shared" si="61"/>
        <v>35</v>
      </c>
      <c r="I303" s="127">
        <f t="shared" si="62"/>
        <v>34</v>
      </c>
      <c r="J303" s="127">
        <f t="shared" si="63"/>
        <v>14</v>
      </c>
      <c r="K303" s="126">
        <f t="shared" ref="K303:X303" si="72">SUBTOTAL(109,K291:K302)</f>
        <v>10</v>
      </c>
      <c r="L303" s="127">
        <f t="shared" si="72"/>
        <v>3</v>
      </c>
      <c r="M303" s="127">
        <f t="shared" si="72"/>
        <v>1</v>
      </c>
      <c r="N303" s="127">
        <f t="shared" si="72"/>
        <v>0</v>
      </c>
      <c r="O303" s="127">
        <f t="shared" si="72"/>
        <v>0</v>
      </c>
      <c r="P303" s="127">
        <f t="shared" si="72"/>
        <v>0</v>
      </c>
      <c r="Q303" s="127">
        <f t="shared" si="72"/>
        <v>0</v>
      </c>
      <c r="R303" s="127">
        <f t="shared" si="72"/>
        <v>1</v>
      </c>
      <c r="S303" s="127">
        <f t="shared" si="72"/>
        <v>0</v>
      </c>
      <c r="T303" s="127">
        <f t="shared" si="72"/>
        <v>0</v>
      </c>
      <c r="U303" s="127">
        <f t="shared" si="72"/>
        <v>0</v>
      </c>
      <c r="V303" s="127">
        <f t="shared" si="72"/>
        <v>20</v>
      </c>
      <c r="W303" s="127">
        <f t="shared" si="72"/>
        <v>5</v>
      </c>
      <c r="X303" s="128">
        <f t="shared" si="72"/>
        <v>5</v>
      </c>
    </row>
    <row r="304" ht="15.75" customHeight="1">
      <c r="A304" s="109">
        <v>25.0</v>
      </c>
      <c r="B304" s="110">
        <v>45851.0</v>
      </c>
      <c r="C304" s="111">
        <v>0.8958333333333334</v>
      </c>
      <c r="D304" s="112" t="s">
        <v>58</v>
      </c>
      <c r="E304" s="112" t="s">
        <v>61</v>
      </c>
      <c r="F304" s="112" t="s">
        <v>26</v>
      </c>
      <c r="G304" s="118">
        <v>1.0</v>
      </c>
      <c r="H304" s="115">
        <f t="shared" si="61"/>
        <v>3</v>
      </c>
      <c r="I304" s="116">
        <f t="shared" si="62"/>
        <v>3</v>
      </c>
      <c r="J304" s="116">
        <f t="shared" si="63"/>
        <v>2</v>
      </c>
      <c r="K304" s="117">
        <v>0.0</v>
      </c>
      <c r="L304" s="118">
        <v>2.0</v>
      </c>
      <c r="M304" s="118">
        <v>0.0</v>
      </c>
      <c r="N304" s="118">
        <v>0.0</v>
      </c>
      <c r="O304" s="118">
        <v>0.0</v>
      </c>
      <c r="P304" s="118">
        <v>0.0</v>
      </c>
      <c r="Q304" s="118">
        <v>0.0</v>
      </c>
      <c r="R304" s="118">
        <v>0.0</v>
      </c>
      <c r="S304" s="118">
        <v>0.0</v>
      </c>
      <c r="T304" s="118">
        <v>0.0</v>
      </c>
      <c r="U304" s="118">
        <v>0.0</v>
      </c>
      <c r="V304" s="118">
        <v>1.0</v>
      </c>
      <c r="W304" s="118">
        <v>1.0</v>
      </c>
      <c r="X304" s="119">
        <v>1.0</v>
      </c>
    </row>
    <row r="305" ht="15.75" customHeight="1">
      <c r="A305" s="109">
        <v>25.0</v>
      </c>
      <c r="B305" s="99">
        <v>45851.0</v>
      </c>
      <c r="C305" s="100">
        <v>0.8958333333333334</v>
      </c>
      <c r="D305" s="101" t="s">
        <v>58</v>
      </c>
      <c r="E305" s="101" t="s">
        <v>61</v>
      </c>
      <c r="F305" s="101" t="s">
        <v>32</v>
      </c>
      <c r="G305" s="107">
        <v>2.0</v>
      </c>
      <c r="H305" s="104">
        <f t="shared" si="61"/>
        <v>3</v>
      </c>
      <c r="I305" s="105">
        <f t="shared" si="62"/>
        <v>3</v>
      </c>
      <c r="J305" s="105">
        <f t="shared" si="63"/>
        <v>1</v>
      </c>
      <c r="K305" s="106">
        <v>1.0</v>
      </c>
      <c r="L305" s="107">
        <v>0.0</v>
      </c>
      <c r="M305" s="107">
        <v>0.0</v>
      </c>
      <c r="N305" s="107">
        <v>0.0</v>
      </c>
      <c r="O305" s="107">
        <v>0.0</v>
      </c>
      <c r="P305" s="107">
        <v>1.0</v>
      </c>
      <c r="Q305" s="107">
        <v>0.0</v>
      </c>
      <c r="R305" s="107">
        <v>0.0</v>
      </c>
      <c r="S305" s="107">
        <v>0.0</v>
      </c>
      <c r="T305" s="107">
        <v>0.0</v>
      </c>
      <c r="U305" s="107">
        <v>0.0</v>
      </c>
      <c r="V305" s="107">
        <v>1.0</v>
      </c>
      <c r="W305" s="107">
        <v>1.0</v>
      </c>
      <c r="X305" s="108">
        <v>1.0</v>
      </c>
    </row>
    <row r="306" ht="15.75" customHeight="1">
      <c r="A306" s="109">
        <v>25.0</v>
      </c>
      <c r="B306" s="110">
        <v>45851.0</v>
      </c>
      <c r="C306" s="111">
        <v>0.8958333333333334</v>
      </c>
      <c r="D306" s="112" t="s">
        <v>58</v>
      </c>
      <c r="E306" s="112" t="s">
        <v>61</v>
      </c>
      <c r="F306" s="112" t="s">
        <v>25</v>
      </c>
      <c r="G306" s="118">
        <v>3.0</v>
      </c>
      <c r="H306" s="115">
        <f t="shared" si="61"/>
        <v>3</v>
      </c>
      <c r="I306" s="116">
        <f t="shared" si="62"/>
        <v>3</v>
      </c>
      <c r="J306" s="116">
        <f t="shared" si="63"/>
        <v>2</v>
      </c>
      <c r="K306" s="117">
        <v>0.0</v>
      </c>
      <c r="L306" s="118">
        <v>1.0</v>
      </c>
      <c r="M306" s="118">
        <v>1.0</v>
      </c>
      <c r="N306" s="118">
        <v>0.0</v>
      </c>
      <c r="O306" s="118">
        <v>0.0</v>
      </c>
      <c r="P306" s="118">
        <v>0.0</v>
      </c>
      <c r="Q306" s="118">
        <v>0.0</v>
      </c>
      <c r="R306" s="118">
        <v>0.0</v>
      </c>
      <c r="S306" s="118">
        <v>0.0</v>
      </c>
      <c r="T306" s="118">
        <v>0.0</v>
      </c>
      <c r="U306" s="118">
        <v>0.0</v>
      </c>
      <c r="V306" s="118">
        <v>1.0</v>
      </c>
      <c r="W306" s="118">
        <v>2.0</v>
      </c>
      <c r="X306" s="119">
        <v>1.0</v>
      </c>
    </row>
    <row r="307" ht="15.75" customHeight="1">
      <c r="A307" s="109">
        <v>25.0</v>
      </c>
      <c r="B307" s="99">
        <v>45851.0</v>
      </c>
      <c r="C307" s="100">
        <v>0.8958333333333334</v>
      </c>
      <c r="D307" s="101" t="s">
        <v>58</v>
      </c>
      <c r="E307" s="101" t="s">
        <v>61</v>
      </c>
      <c r="F307" s="101" t="s">
        <v>30</v>
      </c>
      <c r="G307" s="107">
        <v>4.0</v>
      </c>
      <c r="H307" s="104">
        <f t="shared" si="61"/>
        <v>3</v>
      </c>
      <c r="I307" s="105">
        <f t="shared" si="62"/>
        <v>3</v>
      </c>
      <c r="J307" s="105">
        <f t="shared" si="63"/>
        <v>3</v>
      </c>
      <c r="K307" s="106">
        <v>2.0</v>
      </c>
      <c r="L307" s="107">
        <v>0.0</v>
      </c>
      <c r="M307" s="107">
        <v>0.0</v>
      </c>
      <c r="N307" s="107">
        <v>0.0</v>
      </c>
      <c r="O307" s="107">
        <v>1.0</v>
      </c>
      <c r="P307" s="107">
        <v>0.0</v>
      </c>
      <c r="Q307" s="107">
        <v>0.0</v>
      </c>
      <c r="R307" s="107">
        <v>0.0</v>
      </c>
      <c r="S307" s="107">
        <v>0.0</v>
      </c>
      <c r="T307" s="107">
        <v>0.0</v>
      </c>
      <c r="U307" s="107">
        <v>0.0</v>
      </c>
      <c r="V307" s="107">
        <v>0.0</v>
      </c>
      <c r="W307" s="107">
        <v>2.0</v>
      </c>
      <c r="X307" s="108">
        <v>4.0</v>
      </c>
    </row>
    <row r="308" ht="15.75" customHeight="1">
      <c r="A308" s="109">
        <v>25.0</v>
      </c>
      <c r="B308" s="110">
        <v>45851.0</v>
      </c>
      <c r="C308" s="111">
        <v>0.8958333333333334</v>
      </c>
      <c r="D308" s="112" t="s">
        <v>58</v>
      </c>
      <c r="E308" s="112" t="s">
        <v>61</v>
      </c>
      <c r="F308" s="101" t="s">
        <v>33</v>
      </c>
      <c r="G308" s="118">
        <v>5.0</v>
      </c>
      <c r="H308" s="104">
        <f t="shared" si="61"/>
        <v>3</v>
      </c>
      <c r="I308" s="105">
        <f t="shared" si="62"/>
        <v>3</v>
      </c>
      <c r="J308" s="105">
        <f t="shared" si="63"/>
        <v>1</v>
      </c>
      <c r="K308" s="106">
        <v>1.0</v>
      </c>
      <c r="L308" s="107">
        <v>0.0</v>
      </c>
      <c r="M308" s="107">
        <v>0.0</v>
      </c>
      <c r="N308" s="107">
        <v>0.0</v>
      </c>
      <c r="O308" s="107">
        <v>0.0</v>
      </c>
      <c r="P308" s="107">
        <v>0.0</v>
      </c>
      <c r="Q308" s="107">
        <v>0.0</v>
      </c>
      <c r="R308" s="107">
        <v>0.0</v>
      </c>
      <c r="S308" s="107">
        <v>0.0</v>
      </c>
      <c r="T308" s="107">
        <v>0.0</v>
      </c>
      <c r="U308" s="107">
        <v>1.0</v>
      </c>
      <c r="V308" s="107">
        <v>1.0</v>
      </c>
      <c r="W308" s="107">
        <v>1.0</v>
      </c>
      <c r="X308" s="108">
        <v>0.0</v>
      </c>
    </row>
    <row r="309" ht="15.75" customHeight="1">
      <c r="A309" s="109">
        <v>25.0</v>
      </c>
      <c r="B309" s="99">
        <v>45851.0</v>
      </c>
      <c r="C309" s="100">
        <v>0.8958333333333334</v>
      </c>
      <c r="D309" s="101" t="s">
        <v>58</v>
      </c>
      <c r="E309" s="112" t="s">
        <v>61</v>
      </c>
      <c r="F309" s="112" t="s">
        <v>28</v>
      </c>
      <c r="G309" s="107">
        <v>6.0</v>
      </c>
      <c r="H309" s="115">
        <f t="shared" si="61"/>
        <v>3</v>
      </c>
      <c r="I309" s="116">
        <f t="shared" si="62"/>
        <v>3</v>
      </c>
      <c r="J309" s="116">
        <f t="shared" si="63"/>
        <v>1</v>
      </c>
      <c r="K309" s="117">
        <v>1.0</v>
      </c>
      <c r="L309" s="118">
        <v>0.0</v>
      </c>
      <c r="M309" s="118">
        <v>0.0</v>
      </c>
      <c r="N309" s="118">
        <v>0.0</v>
      </c>
      <c r="O309" s="118">
        <v>0.0</v>
      </c>
      <c r="P309" s="118">
        <v>0.0</v>
      </c>
      <c r="Q309" s="118">
        <v>0.0</v>
      </c>
      <c r="R309" s="118">
        <v>0.0</v>
      </c>
      <c r="S309" s="118">
        <v>0.0</v>
      </c>
      <c r="T309" s="118">
        <v>0.0</v>
      </c>
      <c r="U309" s="118">
        <v>0.0</v>
      </c>
      <c r="V309" s="118">
        <v>2.0</v>
      </c>
      <c r="W309" s="118">
        <v>1.0</v>
      </c>
      <c r="X309" s="119">
        <v>1.0</v>
      </c>
    </row>
    <row r="310" ht="15.75" customHeight="1">
      <c r="A310" s="109">
        <v>25.0</v>
      </c>
      <c r="B310" s="110">
        <v>45851.0</v>
      </c>
      <c r="C310" s="111">
        <v>0.8958333333333334</v>
      </c>
      <c r="D310" s="112" t="s">
        <v>58</v>
      </c>
      <c r="E310" s="112" t="s">
        <v>61</v>
      </c>
      <c r="F310" s="112" t="s">
        <v>29</v>
      </c>
      <c r="G310" s="118">
        <v>7.0</v>
      </c>
      <c r="H310" s="115">
        <f t="shared" si="61"/>
        <v>3</v>
      </c>
      <c r="I310" s="116">
        <f t="shared" si="62"/>
        <v>3</v>
      </c>
      <c r="J310" s="116">
        <f t="shared" si="63"/>
        <v>2</v>
      </c>
      <c r="K310" s="117">
        <v>1.0</v>
      </c>
      <c r="L310" s="118">
        <v>1.0</v>
      </c>
      <c r="M310" s="118">
        <v>0.0</v>
      </c>
      <c r="N310" s="118">
        <v>0.0</v>
      </c>
      <c r="O310" s="118">
        <v>0.0</v>
      </c>
      <c r="P310" s="118">
        <v>0.0</v>
      </c>
      <c r="Q310" s="118">
        <v>0.0</v>
      </c>
      <c r="R310" s="118">
        <v>0.0</v>
      </c>
      <c r="S310" s="118">
        <v>0.0</v>
      </c>
      <c r="T310" s="118">
        <v>0.0</v>
      </c>
      <c r="U310" s="118">
        <v>1.0</v>
      </c>
      <c r="V310" s="118">
        <v>0.0</v>
      </c>
      <c r="W310" s="118">
        <v>1.0</v>
      </c>
      <c r="X310" s="119">
        <v>0.0</v>
      </c>
    </row>
    <row r="311" ht="15.75" customHeight="1">
      <c r="A311" s="109">
        <v>25.0</v>
      </c>
      <c r="B311" s="99">
        <v>45851.0</v>
      </c>
      <c r="C311" s="100">
        <v>0.8958333333333334</v>
      </c>
      <c r="D311" s="101" t="s">
        <v>58</v>
      </c>
      <c r="E311" s="112" t="s">
        <v>61</v>
      </c>
      <c r="F311" s="133" t="s">
        <v>27</v>
      </c>
      <c r="G311" s="107">
        <v>8.0</v>
      </c>
      <c r="H311" s="134">
        <f t="shared" si="61"/>
        <v>3</v>
      </c>
      <c r="I311" s="135">
        <f t="shared" si="62"/>
        <v>2</v>
      </c>
      <c r="J311" s="135">
        <f t="shared" si="63"/>
        <v>1</v>
      </c>
      <c r="K311" s="136">
        <v>1.0</v>
      </c>
      <c r="L311" s="137">
        <v>0.0</v>
      </c>
      <c r="M311" s="137">
        <v>0.0</v>
      </c>
      <c r="N311" s="137">
        <v>0.0</v>
      </c>
      <c r="O311" s="137">
        <v>0.0</v>
      </c>
      <c r="P311" s="137">
        <v>0.0</v>
      </c>
      <c r="Q311" s="137">
        <v>0.0</v>
      </c>
      <c r="R311" s="137">
        <v>1.0</v>
      </c>
      <c r="S311" s="137">
        <v>0.0</v>
      </c>
      <c r="T311" s="137">
        <v>0.0</v>
      </c>
      <c r="U311" s="137">
        <v>0.0</v>
      </c>
      <c r="V311" s="137">
        <v>1.0</v>
      </c>
      <c r="W311" s="137">
        <v>1.0</v>
      </c>
      <c r="X311" s="138">
        <v>1.0</v>
      </c>
    </row>
    <row r="312" ht="15.75" customHeight="1">
      <c r="A312" s="109">
        <v>25.0</v>
      </c>
      <c r="B312" s="110">
        <v>45851.0</v>
      </c>
      <c r="C312" s="111">
        <v>0.8958333333333334</v>
      </c>
      <c r="D312" s="112" t="s">
        <v>58</v>
      </c>
      <c r="E312" s="112" t="s">
        <v>61</v>
      </c>
      <c r="F312" s="101" t="s">
        <v>38</v>
      </c>
      <c r="G312" s="118">
        <v>9.0</v>
      </c>
      <c r="H312" s="104">
        <f t="shared" si="61"/>
        <v>3</v>
      </c>
      <c r="I312" s="105">
        <f t="shared" si="62"/>
        <v>3</v>
      </c>
      <c r="J312" s="105">
        <f t="shared" si="63"/>
        <v>2</v>
      </c>
      <c r="K312" s="106">
        <v>2.0</v>
      </c>
      <c r="L312" s="107">
        <v>0.0</v>
      </c>
      <c r="M312" s="107">
        <v>0.0</v>
      </c>
      <c r="N312" s="107">
        <v>0.0</v>
      </c>
      <c r="O312" s="107">
        <v>0.0</v>
      </c>
      <c r="P312" s="107">
        <v>0.0</v>
      </c>
      <c r="Q312" s="107">
        <v>0.0</v>
      </c>
      <c r="R312" s="107">
        <v>0.0</v>
      </c>
      <c r="S312" s="107">
        <v>0.0</v>
      </c>
      <c r="T312" s="107">
        <v>0.0</v>
      </c>
      <c r="U312" s="107">
        <v>1.0</v>
      </c>
      <c r="V312" s="107">
        <v>0.0</v>
      </c>
      <c r="W312" s="107">
        <v>1.0</v>
      </c>
      <c r="X312" s="108">
        <v>2.0</v>
      </c>
    </row>
    <row r="313" ht="15.75" customHeight="1">
      <c r="A313" s="109">
        <v>25.0</v>
      </c>
      <c r="B313" s="99">
        <v>45851.0</v>
      </c>
      <c r="C313" s="100">
        <v>0.8958333333333334</v>
      </c>
      <c r="D313" s="101" t="s">
        <v>58</v>
      </c>
      <c r="E313" s="112" t="s">
        <v>61</v>
      </c>
      <c r="F313" s="112" t="s">
        <v>34</v>
      </c>
      <c r="G313" s="107">
        <v>10.0</v>
      </c>
      <c r="H313" s="115">
        <f t="shared" si="61"/>
        <v>3</v>
      </c>
      <c r="I313" s="116">
        <f t="shared" si="62"/>
        <v>3</v>
      </c>
      <c r="J313" s="116">
        <f t="shared" si="63"/>
        <v>2</v>
      </c>
      <c r="K313" s="117">
        <v>2.0</v>
      </c>
      <c r="L313" s="118">
        <v>0.0</v>
      </c>
      <c r="M313" s="118">
        <v>0.0</v>
      </c>
      <c r="N313" s="118">
        <v>0.0</v>
      </c>
      <c r="O313" s="118">
        <v>0.0</v>
      </c>
      <c r="P313" s="118">
        <v>0.0</v>
      </c>
      <c r="Q313" s="118">
        <v>0.0</v>
      </c>
      <c r="R313" s="118">
        <v>0.0</v>
      </c>
      <c r="S313" s="118">
        <v>0.0</v>
      </c>
      <c r="T313" s="118">
        <v>0.0</v>
      </c>
      <c r="U313" s="118">
        <v>0.0</v>
      </c>
      <c r="V313" s="118">
        <v>1.0</v>
      </c>
      <c r="W313" s="118">
        <v>1.0</v>
      </c>
      <c r="X313" s="119">
        <v>0.0</v>
      </c>
    </row>
    <row r="314" ht="15.75" customHeight="1">
      <c r="A314" s="109">
        <v>25.0</v>
      </c>
      <c r="B314" s="110">
        <v>45851.0</v>
      </c>
      <c r="C314" s="100">
        <v>0.8958333333333334</v>
      </c>
      <c r="D314" s="101" t="s">
        <v>58</v>
      </c>
      <c r="E314" s="112" t="s">
        <v>61</v>
      </c>
      <c r="F314" s="112" t="s">
        <v>36</v>
      </c>
      <c r="G314" s="118">
        <v>11.0</v>
      </c>
      <c r="H314" s="115">
        <f t="shared" si="61"/>
        <v>3</v>
      </c>
      <c r="I314" s="116">
        <f t="shared" si="62"/>
        <v>3</v>
      </c>
      <c r="J314" s="116">
        <f t="shared" si="63"/>
        <v>2</v>
      </c>
      <c r="K314" s="117">
        <v>2.0</v>
      </c>
      <c r="L314" s="118">
        <v>0.0</v>
      </c>
      <c r="M314" s="118">
        <v>0.0</v>
      </c>
      <c r="N314" s="118">
        <v>0.0</v>
      </c>
      <c r="O314" s="118">
        <v>0.0</v>
      </c>
      <c r="P314" s="118">
        <v>1.0</v>
      </c>
      <c r="Q314" s="118">
        <v>0.0</v>
      </c>
      <c r="R314" s="118">
        <v>0.0</v>
      </c>
      <c r="S314" s="118">
        <v>0.0</v>
      </c>
      <c r="T314" s="118">
        <v>0.0</v>
      </c>
      <c r="U314" s="118">
        <v>0.0</v>
      </c>
      <c r="V314" s="118">
        <v>0.0</v>
      </c>
      <c r="W314" s="118">
        <v>1.0</v>
      </c>
      <c r="X314" s="119">
        <v>2.0</v>
      </c>
    </row>
    <row r="315" ht="15.75" customHeight="1">
      <c r="A315" s="109">
        <v>25.0</v>
      </c>
      <c r="B315" s="99">
        <v>45851.0</v>
      </c>
      <c r="C315" s="100">
        <v>0.8958333333333334</v>
      </c>
      <c r="D315" s="101" t="s">
        <v>58</v>
      </c>
      <c r="E315" s="112" t="s">
        <v>61</v>
      </c>
      <c r="F315" s="112" t="s">
        <v>39</v>
      </c>
      <c r="G315" s="107">
        <v>12.0</v>
      </c>
      <c r="H315" s="115">
        <f t="shared" si="61"/>
        <v>3</v>
      </c>
      <c r="I315" s="116">
        <f t="shared" si="62"/>
        <v>3</v>
      </c>
      <c r="J315" s="116">
        <f t="shared" si="63"/>
        <v>2</v>
      </c>
      <c r="K315" s="117">
        <v>1.0</v>
      </c>
      <c r="L315" s="118">
        <v>1.0</v>
      </c>
      <c r="M315" s="118">
        <v>0.0</v>
      </c>
      <c r="N315" s="118">
        <v>0.0</v>
      </c>
      <c r="O315" s="118">
        <v>0.0</v>
      </c>
      <c r="P315" s="118">
        <v>0.0</v>
      </c>
      <c r="Q315" s="118">
        <v>0.0</v>
      </c>
      <c r="R315" s="118">
        <v>0.0</v>
      </c>
      <c r="S315" s="118">
        <v>0.0</v>
      </c>
      <c r="T315" s="118">
        <v>0.0</v>
      </c>
      <c r="U315" s="118">
        <v>0.0</v>
      </c>
      <c r="V315" s="118">
        <v>1.0</v>
      </c>
      <c r="W315" s="118">
        <v>1.0</v>
      </c>
      <c r="X315" s="119">
        <v>1.0</v>
      </c>
    </row>
    <row r="316" ht="15.75" customHeight="1">
      <c r="A316" s="121">
        <v>25.0</v>
      </c>
      <c r="B316" s="122">
        <v>45851.0</v>
      </c>
      <c r="C316" s="123">
        <v>0.8958333333333334</v>
      </c>
      <c r="D316" s="124" t="s">
        <v>58</v>
      </c>
      <c r="E316" s="124" t="s">
        <v>61</v>
      </c>
      <c r="F316" s="124" t="s">
        <v>44</v>
      </c>
      <c r="G316" s="125"/>
      <c r="H316" s="126">
        <f t="shared" si="61"/>
        <v>36</v>
      </c>
      <c r="I316" s="127">
        <f t="shared" si="62"/>
        <v>35</v>
      </c>
      <c r="J316" s="127">
        <f t="shared" si="63"/>
        <v>21</v>
      </c>
      <c r="K316" s="126">
        <f t="shared" ref="K316:X316" si="73">SUBTOTAL(109,K304:K315)</f>
        <v>14</v>
      </c>
      <c r="L316" s="127">
        <f t="shared" si="73"/>
        <v>5</v>
      </c>
      <c r="M316" s="127">
        <f t="shared" si="73"/>
        <v>1</v>
      </c>
      <c r="N316" s="127">
        <f t="shared" si="73"/>
        <v>0</v>
      </c>
      <c r="O316" s="127">
        <f t="shared" si="73"/>
        <v>1</v>
      </c>
      <c r="P316" s="127">
        <f t="shared" si="73"/>
        <v>2</v>
      </c>
      <c r="Q316" s="127">
        <f t="shared" si="73"/>
        <v>0</v>
      </c>
      <c r="R316" s="127">
        <f t="shared" si="73"/>
        <v>1</v>
      </c>
      <c r="S316" s="127">
        <f t="shared" si="73"/>
        <v>0</v>
      </c>
      <c r="T316" s="127">
        <f t="shared" si="73"/>
        <v>0</v>
      </c>
      <c r="U316" s="127">
        <f t="shared" si="73"/>
        <v>3</v>
      </c>
      <c r="V316" s="127">
        <f t="shared" si="73"/>
        <v>9</v>
      </c>
      <c r="W316" s="127">
        <f t="shared" si="73"/>
        <v>14</v>
      </c>
      <c r="X316" s="128">
        <f t="shared" si="73"/>
        <v>14</v>
      </c>
    </row>
    <row r="317" ht="15.75" customHeight="1">
      <c r="A317" s="109">
        <v>26.0</v>
      </c>
      <c r="B317" s="110">
        <v>45853.0</v>
      </c>
      <c r="C317" s="111">
        <v>0.8958333333333334</v>
      </c>
      <c r="D317" s="112" t="s">
        <v>58</v>
      </c>
      <c r="E317" s="112" t="s">
        <v>59</v>
      </c>
      <c r="F317" s="112" t="s">
        <v>28</v>
      </c>
      <c r="G317" s="118">
        <v>1.0</v>
      </c>
      <c r="H317" s="115">
        <f t="shared" si="61"/>
        <v>4</v>
      </c>
      <c r="I317" s="116">
        <f t="shared" si="62"/>
        <v>4</v>
      </c>
      <c r="J317" s="116">
        <f t="shared" si="63"/>
        <v>2</v>
      </c>
      <c r="K317" s="117">
        <v>2.0</v>
      </c>
      <c r="L317" s="118">
        <v>0.0</v>
      </c>
      <c r="M317" s="118">
        <v>0.0</v>
      </c>
      <c r="N317" s="118">
        <v>0.0</v>
      </c>
      <c r="O317" s="118">
        <v>0.0</v>
      </c>
      <c r="P317" s="118">
        <v>0.0</v>
      </c>
      <c r="Q317" s="118">
        <v>0.0</v>
      </c>
      <c r="R317" s="118">
        <v>0.0</v>
      </c>
      <c r="S317" s="118">
        <v>0.0</v>
      </c>
      <c r="T317" s="118">
        <v>0.0</v>
      </c>
      <c r="U317" s="118">
        <v>0.0</v>
      </c>
      <c r="V317" s="118">
        <v>2.0</v>
      </c>
      <c r="W317" s="118">
        <v>1.0</v>
      </c>
      <c r="X317" s="119">
        <v>1.0</v>
      </c>
    </row>
    <row r="318" ht="15.75" customHeight="1">
      <c r="A318" s="109">
        <v>26.0</v>
      </c>
      <c r="B318" s="99">
        <v>45853.0</v>
      </c>
      <c r="C318" s="100">
        <v>0.8958333333333334</v>
      </c>
      <c r="D318" s="101" t="s">
        <v>58</v>
      </c>
      <c r="E318" s="101" t="s">
        <v>59</v>
      </c>
      <c r="F318" s="101" t="s">
        <v>26</v>
      </c>
      <c r="G318" s="107">
        <v>2.0</v>
      </c>
      <c r="H318" s="104">
        <f t="shared" si="61"/>
        <v>4</v>
      </c>
      <c r="I318" s="105">
        <f t="shared" si="62"/>
        <v>4</v>
      </c>
      <c r="J318" s="105">
        <f t="shared" si="63"/>
        <v>3</v>
      </c>
      <c r="K318" s="106">
        <v>2.0</v>
      </c>
      <c r="L318" s="107">
        <v>1.0</v>
      </c>
      <c r="M318" s="107">
        <v>0.0</v>
      </c>
      <c r="N318" s="107">
        <v>0.0</v>
      </c>
      <c r="O318" s="107">
        <v>0.0</v>
      </c>
      <c r="P318" s="107">
        <v>1.0</v>
      </c>
      <c r="Q318" s="107">
        <v>0.0</v>
      </c>
      <c r="R318" s="107">
        <v>0.0</v>
      </c>
      <c r="S318" s="107">
        <v>0.0</v>
      </c>
      <c r="T318" s="107">
        <v>0.0</v>
      </c>
      <c r="U318" s="107">
        <v>0.0</v>
      </c>
      <c r="V318" s="107">
        <v>0.0</v>
      </c>
      <c r="W318" s="107">
        <v>2.0</v>
      </c>
      <c r="X318" s="108">
        <v>1.0</v>
      </c>
    </row>
    <row r="319" ht="15.75" customHeight="1">
      <c r="A319" s="109">
        <v>26.0</v>
      </c>
      <c r="B319" s="110">
        <v>45853.0</v>
      </c>
      <c r="C319" s="111">
        <v>0.8958333333333334</v>
      </c>
      <c r="D319" s="112" t="s">
        <v>58</v>
      </c>
      <c r="E319" s="112" t="s">
        <v>59</v>
      </c>
      <c r="F319" s="112" t="s">
        <v>32</v>
      </c>
      <c r="G319" s="118">
        <v>3.0</v>
      </c>
      <c r="H319" s="115">
        <f t="shared" si="61"/>
        <v>4</v>
      </c>
      <c r="I319" s="116">
        <f t="shared" si="62"/>
        <v>3</v>
      </c>
      <c r="J319" s="116">
        <f t="shared" si="63"/>
        <v>1</v>
      </c>
      <c r="K319" s="117">
        <v>1.0</v>
      </c>
      <c r="L319" s="118">
        <v>0.0</v>
      </c>
      <c r="M319" s="118">
        <v>0.0</v>
      </c>
      <c r="N319" s="118">
        <v>0.0</v>
      </c>
      <c r="O319" s="118">
        <v>0.0</v>
      </c>
      <c r="P319" s="118">
        <v>0.0</v>
      </c>
      <c r="Q319" s="118">
        <v>1.0</v>
      </c>
      <c r="R319" s="118">
        <v>0.0</v>
      </c>
      <c r="S319" s="118">
        <v>0.0</v>
      </c>
      <c r="T319" s="118">
        <v>0.0</v>
      </c>
      <c r="U319" s="118">
        <v>0.0</v>
      </c>
      <c r="V319" s="118">
        <v>2.0</v>
      </c>
      <c r="W319" s="118">
        <v>2.0</v>
      </c>
      <c r="X319" s="119">
        <v>2.0</v>
      </c>
    </row>
    <row r="320" ht="15.75" customHeight="1">
      <c r="A320" s="109">
        <v>26.0</v>
      </c>
      <c r="B320" s="99">
        <v>45853.0</v>
      </c>
      <c r="C320" s="100">
        <v>0.8958333333333334</v>
      </c>
      <c r="D320" s="101" t="s">
        <v>58</v>
      </c>
      <c r="E320" s="101" t="s">
        <v>59</v>
      </c>
      <c r="F320" s="101" t="s">
        <v>30</v>
      </c>
      <c r="G320" s="107">
        <v>4.0</v>
      </c>
      <c r="H320" s="104">
        <f t="shared" si="61"/>
        <v>4</v>
      </c>
      <c r="I320" s="105">
        <f t="shared" si="62"/>
        <v>3</v>
      </c>
      <c r="J320" s="105">
        <f t="shared" si="63"/>
        <v>1</v>
      </c>
      <c r="K320" s="106">
        <v>0.0</v>
      </c>
      <c r="L320" s="107">
        <v>0.0</v>
      </c>
      <c r="M320" s="107">
        <v>0.0</v>
      </c>
      <c r="N320" s="107">
        <v>0.0</v>
      </c>
      <c r="O320" s="107">
        <v>1.0</v>
      </c>
      <c r="P320" s="107">
        <v>0.0</v>
      </c>
      <c r="Q320" s="107">
        <v>1.0</v>
      </c>
      <c r="R320" s="107">
        <v>0.0</v>
      </c>
      <c r="S320" s="107">
        <v>0.0</v>
      </c>
      <c r="T320" s="107">
        <v>0.0</v>
      </c>
      <c r="U320" s="107">
        <v>0.0</v>
      </c>
      <c r="V320" s="107">
        <v>2.0</v>
      </c>
      <c r="W320" s="107">
        <v>2.0</v>
      </c>
      <c r="X320" s="108">
        <v>2.0</v>
      </c>
    </row>
    <row r="321" ht="15.75" customHeight="1">
      <c r="A321" s="109">
        <v>26.0</v>
      </c>
      <c r="B321" s="110">
        <v>45853.0</v>
      </c>
      <c r="C321" s="111">
        <v>0.8958333333333334</v>
      </c>
      <c r="D321" s="112" t="s">
        <v>58</v>
      </c>
      <c r="E321" s="112" t="s">
        <v>59</v>
      </c>
      <c r="F321" s="101" t="s">
        <v>33</v>
      </c>
      <c r="G321" s="118">
        <v>5.0</v>
      </c>
      <c r="H321" s="104">
        <f t="shared" si="61"/>
        <v>4</v>
      </c>
      <c r="I321" s="105">
        <f t="shared" si="62"/>
        <v>3</v>
      </c>
      <c r="J321" s="105">
        <f t="shared" si="63"/>
        <v>3</v>
      </c>
      <c r="K321" s="106">
        <v>1.0</v>
      </c>
      <c r="L321" s="107">
        <v>1.0</v>
      </c>
      <c r="M321" s="107">
        <v>1.0</v>
      </c>
      <c r="N321" s="107">
        <v>0.0</v>
      </c>
      <c r="O321" s="107">
        <v>0.0</v>
      </c>
      <c r="P321" s="107">
        <v>0.0</v>
      </c>
      <c r="Q321" s="107">
        <v>1.0</v>
      </c>
      <c r="R321" s="107">
        <v>0.0</v>
      </c>
      <c r="S321" s="107">
        <v>0.0</v>
      </c>
      <c r="T321" s="107">
        <v>0.0</v>
      </c>
      <c r="U321" s="107">
        <v>0.0</v>
      </c>
      <c r="V321" s="107">
        <v>0.0</v>
      </c>
      <c r="W321" s="107">
        <v>4.0</v>
      </c>
      <c r="X321" s="108">
        <v>2.0</v>
      </c>
    </row>
    <row r="322" ht="15.75" customHeight="1">
      <c r="A322" s="109">
        <v>26.0</v>
      </c>
      <c r="B322" s="99">
        <v>45853.0</v>
      </c>
      <c r="C322" s="100">
        <v>0.8958333333333334</v>
      </c>
      <c r="D322" s="101" t="s">
        <v>58</v>
      </c>
      <c r="E322" s="112" t="s">
        <v>59</v>
      </c>
      <c r="F322" s="112" t="s">
        <v>37</v>
      </c>
      <c r="G322" s="107">
        <v>6.0</v>
      </c>
      <c r="H322" s="115">
        <f t="shared" si="61"/>
        <v>4</v>
      </c>
      <c r="I322" s="116">
        <f t="shared" si="62"/>
        <v>3</v>
      </c>
      <c r="J322" s="116">
        <f t="shared" si="63"/>
        <v>2</v>
      </c>
      <c r="K322" s="117">
        <v>1.0</v>
      </c>
      <c r="L322" s="118">
        <v>1.0</v>
      </c>
      <c r="M322" s="118">
        <v>0.0</v>
      </c>
      <c r="N322" s="118">
        <v>0.0</v>
      </c>
      <c r="O322" s="118">
        <v>0.0</v>
      </c>
      <c r="P322" s="118">
        <v>0.0</v>
      </c>
      <c r="Q322" s="118">
        <v>1.0</v>
      </c>
      <c r="R322" s="118">
        <v>0.0</v>
      </c>
      <c r="S322" s="118">
        <v>0.0</v>
      </c>
      <c r="T322" s="118">
        <v>1.0</v>
      </c>
      <c r="U322" s="118">
        <v>0.0</v>
      </c>
      <c r="V322" s="118">
        <v>0.0</v>
      </c>
      <c r="W322" s="118">
        <v>2.0</v>
      </c>
      <c r="X322" s="119">
        <v>1.0</v>
      </c>
    </row>
    <row r="323" ht="15.75" customHeight="1">
      <c r="A323" s="109">
        <v>26.0</v>
      </c>
      <c r="B323" s="110">
        <v>45853.0</v>
      </c>
      <c r="C323" s="111">
        <v>0.8958333333333334</v>
      </c>
      <c r="D323" s="112" t="s">
        <v>58</v>
      </c>
      <c r="E323" s="112" t="s">
        <v>59</v>
      </c>
      <c r="F323" s="112" t="s">
        <v>29</v>
      </c>
      <c r="G323" s="118">
        <v>7.0</v>
      </c>
      <c r="H323" s="115">
        <f t="shared" si="61"/>
        <v>4</v>
      </c>
      <c r="I323" s="116">
        <f t="shared" si="62"/>
        <v>4</v>
      </c>
      <c r="J323" s="116">
        <f t="shared" si="63"/>
        <v>4</v>
      </c>
      <c r="K323" s="117">
        <v>3.0</v>
      </c>
      <c r="L323" s="118">
        <v>1.0</v>
      </c>
      <c r="M323" s="118">
        <v>0.0</v>
      </c>
      <c r="N323" s="118">
        <v>0.0</v>
      </c>
      <c r="O323" s="118">
        <v>0.0</v>
      </c>
      <c r="P323" s="118">
        <v>0.0</v>
      </c>
      <c r="Q323" s="118">
        <v>0.0</v>
      </c>
      <c r="R323" s="118">
        <v>0.0</v>
      </c>
      <c r="S323" s="118">
        <v>0.0</v>
      </c>
      <c r="T323" s="118">
        <v>0.0</v>
      </c>
      <c r="U323" s="118">
        <v>0.0</v>
      </c>
      <c r="V323" s="118">
        <v>0.0</v>
      </c>
      <c r="W323" s="118">
        <v>3.0</v>
      </c>
      <c r="X323" s="119">
        <v>3.0</v>
      </c>
    </row>
    <row r="324" ht="15.75" customHeight="1">
      <c r="A324" s="109">
        <v>26.0</v>
      </c>
      <c r="B324" s="99">
        <v>45853.0</v>
      </c>
      <c r="C324" s="100">
        <v>0.8958333333333334</v>
      </c>
      <c r="D324" s="101" t="s">
        <v>58</v>
      </c>
      <c r="E324" s="112" t="s">
        <v>59</v>
      </c>
      <c r="F324" s="133" t="s">
        <v>27</v>
      </c>
      <c r="G324" s="107">
        <v>8.0</v>
      </c>
      <c r="H324" s="134">
        <f t="shared" si="61"/>
        <v>4</v>
      </c>
      <c r="I324" s="135">
        <f t="shared" si="62"/>
        <v>4</v>
      </c>
      <c r="J324" s="135">
        <f t="shared" si="63"/>
        <v>4</v>
      </c>
      <c r="K324" s="136">
        <v>2.0</v>
      </c>
      <c r="L324" s="137">
        <v>1.0</v>
      </c>
      <c r="M324" s="137">
        <v>0.0</v>
      </c>
      <c r="N324" s="137">
        <v>0.0</v>
      </c>
      <c r="O324" s="137">
        <v>1.0</v>
      </c>
      <c r="P324" s="137">
        <v>0.0</v>
      </c>
      <c r="Q324" s="137">
        <v>0.0</v>
      </c>
      <c r="R324" s="137">
        <v>0.0</v>
      </c>
      <c r="S324" s="137">
        <v>0.0</v>
      </c>
      <c r="T324" s="137">
        <v>0.0</v>
      </c>
      <c r="U324" s="137">
        <v>0.0</v>
      </c>
      <c r="V324" s="137">
        <v>0.0</v>
      </c>
      <c r="W324" s="137">
        <v>3.0</v>
      </c>
      <c r="X324" s="138">
        <v>5.0</v>
      </c>
    </row>
    <row r="325" ht="15.75" customHeight="1">
      <c r="A325" s="109">
        <v>26.0</v>
      </c>
      <c r="B325" s="110">
        <v>45853.0</v>
      </c>
      <c r="C325" s="111">
        <v>0.8958333333333334</v>
      </c>
      <c r="D325" s="112" t="s">
        <v>58</v>
      </c>
      <c r="E325" s="112" t="s">
        <v>59</v>
      </c>
      <c r="F325" s="101" t="s">
        <v>38</v>
      </c>
      <c r="G325" s="118">
        <v>9.0</v>
      </c>
      <c r="H325" s="104">
        <f t="shared" si="61"/>
        <v>4</v>
      </c>
      <c r="I325" s="105">
        <f t="shared" si="62"/>
        <v>4</v>
      </c>
      <c r="J325" s="105">
        <f t="shared" si="63"/>
        <v>1</v>
      </c>
      <c r="K325" s="106">
        <v>1.0</v>
      </c>
      <c r="L325" s="107">
        <v>0.0</v>
      </c>
      <c r="M325" s="107">
        <v>0.0</v>
      </c>
      <c r="N325" s="107">
        <v>0.0</v>
      </c>
      <c r="O325" s="107">
        <v>0.0</v>
      </c>
      <c r="P325" s="107">
        <v>0.0</v>
      </c>
      <c r="Q325" s="107">
        <v>0.0</v>
      </c>
      <c r="R325" s="107">
        <v>0.0</v>
      </c>
      <c r="S325" s="107">
        <v>0.0</v>
      </c>
      <c r="T325" s="107">
        <v>0.0</v>
      </c>
      <c r="U325" s="107">
        <v>1.0</v>
      </c>
      <c r="V325" s="107">
        <v>2.0</v>
      </c>
      <c r="W325" s="107">
        <v>0.0</v>
      </c>
      <c r="X325" s="108">
        <v>1.0</v>
      </c>
    </row>
    <row r="326" ht="15.75" customHeight="1">
      <c r="A326" s="109">
        <v>26.0</v>
      </c>
      <c r="B326" s="99">
        <v>45853.0</v>
      </c>
      <c r="C326" s="100">
        <v>0.8958333333333334</v>
      </c>
      <c r="D326" s="101" t="s">
        <v>58</v>
      </c>
      <c r="E326" s="112" t="s">
        <v>59</v>
      </c>
      <c r="F326" s="112" t="s">
        <v>34</v>
      </c>
      <c r="G326" s="107">
        <v>10.0</v>
      </c>
      <c r="H326" s="115">
        <f t="shared" si="61"/>
        <v>4</v>
      </c>
      <c r="I326" s="116">
        <f t="shared" si="62"/>
        <v>4</v>
      </c>
      <c r="J326" s="116">
        <f t="shared" si="63"/>
        <v>2</v>
      </c>
      <c r="K326" s="117">
        <v>2.0</v>
      </c>
      <c r="L326" s="118">
        <v>0.0</v>
      </c>
      <c r="M326" s="118">
        <v>0.0</v>
      </c>
      <c r="N326" s="118">
        <v>0.0</v>
      </c>
      <c r="O326" s="118">
        <v>0.0</v>
      </c>
      <c r="P326" s="118">
        <v>0.0</v>
      </c>
      <c r="Q326" s="118">
        <v>0.0</v>
      </c>
      <c r="R326" s="118">
        <v>0.0</v>
      </c>
      <c r="S326" s="118">
        <v>0.0</v>
      </c>
      <c r="T326" s="118">
        <v>0.0</v>
      </c>
      <c r="U326" s="118">
        <v>1.0</v>
      </c>
      <c r="V326" s="118">
        <v>1.0</v>
      </c>
      <c r="W326" s="118">
        <v>0.0</v>
      </c>
      <c r="X326" s="119">
        <v>2.0</v>
      </c>
    </row>
    <row r="327" ht="15.75" customHeight="1">
      <c r="A327" s="109">
        <v>26.0</v>
      </c>
      <c r="B327" s="110">
        <v>45853.0</v>
      </c>
      <c r="C327" s="100">
        <v>0.8958333333333334</v>
      </c>
      <c r="D327" s="101" t="s">
        <v>58</v>
      </c>
      <c r="E327" s="112" t="s">
        <v>59</v>
      </c>
      <c r="F327" s="112" t="s">
        <v>36</v>
      </c>
      <c r="G327" s="118">
        <v>11.0</v>
      </c>
      <c r="H327" s="115">
        <f t="shared" si="61"/>
        <v>4</v>
      </c>
      <c r="I327" s="116">
        <f t="shared" si="62"/>
        <v>4</v>
      </c>
      <c r="J327" s="116">
        <f t="shared" si="63"/>
        <v>3</v>
      </c>
      <c r="K327" s="117">
        <v>3.0</v>
      </c>
      <c r="L327" s="118">
        <v>0.0</v>
      </c>
      <c r="M327" s="118">
        <v>0.0</v>
      </c>
      <c r="N327" s="118">
        <v>0.0</v>
      </c>
      <c r="O327" s="118">
        <v>0.0</v>
      </c>
      <c r="P327" s="118">
        <v>0.0</v>
      </c>
      <c r="Q327" s="118">
        <v>0.0</v>
      </c>
      <c r="R327" s="118">
        <v>0.0</v>
      </c>
      <c r="S327" s="118">
        <v>0.0</v>
      </c>
      <c r="T327" s="118">
        <v>0.0</v>
      </c>
      <c r="U327" s="118">
        <v>0.0</v>
      </c>
      <c r="V327" s="118">
        <v>1.0</v>
      </c>
      <c r="W327" s="118">
        <v>1.0</v>
      </c>
      <c r="X327" s="119">
        <v>1.0</v>
      </c>
    </row>
    <row r="328" ht="15.75" customHeight="1">
      <c r="A328" s="109">
        <v>26.0</v>
      </c>
      <c r="B328" s="99">
        <v>45853.0</v>
      </c>
      <c r="C328" s="100">
        <v>0.8958333333333334</v>
      </c>
      <c r="D328" s="101" t="s">
        <v>58</v>
      </c>
      <c r="E328" s="112" t="s">
        <v>59</v>
      </c>
      <c r="F328" s="112" t="s">
        <v>40</v>
      </c>
      <c r="G328" s="107">
        <v>12.0</v>
      </c>
      <c r="H328" s="115">
        <f t="shared" si="61"/>
        <v>4</v>
      </c>
      <c r="I328" s="116">
        <f t="shared" si="62"/>
        <v>4</v>
      </c>
      <c r="J328" s="116">
        <f t="shared" si="63"/>
        <v>1</v>
      </c>
      <c r="K328" s="117">
        <v>1.0</v>
      </c>
      <c r="L328" s="118">
        <v>0.0</v>
      </c>
      <c r="M328" s="118">
        <v>0.0</v>
      </c>
      <c r="N328" s="118">
        <v>0.0</v>
      </c>
      <c r="O328" s="118">
        <v>0.0</v>
      </c>
      <c r="P328" s="118">
        <v>0.0</v>
      </c>
      <c r="Q328" s="118">
        <v>0.0</v>
      </c>
      <c r="R328" s="118">
        <v>0.0</v>
      </c>
      <c r="S328" s="118">
        <v>0.0</v>
      </c>
      <c r="T328" s="118">
        <v>0.0</v>
      </c>
      <c r="U328" s="118">
        <v>1.0</v>
      </c>
      <c r="V328" s="118">
        <v>2.0</v>
      </c>
      <c r="W328" s="118">
        <v>1.0</v>
      </c>
      <c r="X328" s="119">
        <v>0.0</v>
      </c>
    </row>
    <row r="329" ht="15.75" customHeight="1">
      <c r="A329" s="121">
        <v>26.0</v>
      </c>
      <c r="B329" s="122">
        <v>45853.0</v>
      </c>
      <c r="C329" s="123">
        <v>0.8958333333333334</v>
      </c>
      <c r="D329" s="124" t="s">
        <v>58</v>
      </c>
      <c r="E329" s="124" t="s">
        <v>59</v>
      </c>
      <c r="F329" s="124" t="s">
        <v>44</v>
      </c>
      <c r="G329" s="125"/>
      <c r="H329" s="126">
        <f t="shared" si="61"/>
        <v>48</v>
      </c>
      <c r="I329" s="127">
        <f t="shared" si="62"/>
        <v>44</v>
      </c>
      <c r="J329" s="127">
        <f t="shared" si="63"/>
        <v>27</v>
      </c>
      <c r="K329" s="126">
        <f t="shared" ref="K329:X329" si="74">SUBTOTAL(109,K317:K328)</f>
        <v>19</v>
      </c>
      <c r="L329" s="127">
        <f t="shared" si="74"/>
        <v>5</v>
      </c>
      <c r="M329" s="127">
        <f t="shared" si="74"/>
        <v>1</v>
      </c>
      <c r="N329" s="127">
        <f t="shared" si="74"/>
        <v>0</v>
      </c>
      <c r="O329" s="127">
        <f t="shared" si="74"/>
        <v>2</v>
      </c>
      <c r="P329" s="127">
        <f t="shared" si="74"/>
        <v>1</v>
      </c>
      <c r="Q329" s="127">
        <f t="shared" si="74"/>
        <v>4</v>
      </c>
      <c r="R329" s="127">
        <f t="shared" si="74"/>
        <v>0</v>
      </c>
      <c r="S329" s="127">
        <f t="shared" si="74"/>
        <v>0</v>
      </c>
      <c r="T329" s="127">
        <f t="shared" si="74"/>
        <v>1</v>
      </c>
      <c r="U329" s="127">
        <f t="shared" si="74"/>
        <v>3</v>
      </c>
      <c r="V329" s="127">
        <f t="shared" si="74"/>
        <v>12</v>
      </c>
      <c r="W329" s="127">
        <f t="shared" si="74"/>
        <v>21</v>
      </c>
      <c r="X329" s="128">
        <f t="shared" si="74"/>
        <v>21</v>
      </c>
    </row>
    <row r="330" ht="15.75" customHeight="1">
      <c r="A330" s="109">
        <v>27.0</v>
      </c>
      <c r="B330" s="110">
        <v>45858.0</v>
      </c>
      <c r="C330" s="111">
        <v>0.8333333333333334</v>
      </c>
      <c r="D330" s="112" t="s">
        <v>54</v>
      </c>
      <c r="E330" s="112" t="s">
        <v>66</v>
      </c>
      <c r="F330" s="112" t="s">
        <v>28</v>
      </c>
      <c r="G330" s="118">
        <v>1.0</v>
      </c>
      <c r="H330" s="115">
        <f t="shared" si="61"/>
        <v>4</v>
      </c>
      <c r="I330" s="116">
        <f t="shared" si="62"/>
        <v>3</v>
      </c>
      <c r="J330" s="116">
        <f t="shared" si="63"/>
        <v>3</v>
      </c>
      <c r="K330" s="117">
        <v>2.0</v>
      </c>
      <c r="L330" s="118">
        <v>1.0</v>
      </c>
      <c r="M330" s="118">
        <v>0.0</v>
      </c>
      <c r="N330" s="118">
        <v>0.0</v>
      </c>
      <c r="O330" s="118">
        <v>0.0</v>
      </c>
      <c r="P330" s="118">
        <v>0.0</v>
      </c>
      <c r="Q330" s="118">
        <v>1.0</v>
      </c>
      <c r="R330" s="118">
        <v>0.0</v>
      </c>
      <c r="S330" s="118">
        <v>0.0</v>
      </c>
      <c r="T330" s="118">
        <v>0.0</v>
      </c>
      <c r="U330" s="118">
        <v>0.0</v>
      </c>
      <c r="V330" s="118">
        <v>0.0</v>
      </c>
      <c r="W330" s="118">
        <v>2.0</v>
      </c>
      <c r="X330" s="119">
        <v>0.0</v>
      </c>
    </row>
    <row r="331" ht="15.75" customHeight="1">
      <c r="A331" s="109">
        <v>27.0</v>
      </c>
      <c r="B331" s="99">
        <v>45858.0</v>
      </c>
      <c r="C331" s="100">
        <v>0.8333333333333334</v>
      </c>
      <c r="D331" s="101" t="s">
        <v>54</v>
      </c>
      <c r="E331" s="101" t="s">
        <v>66</v>
      </c>
      <c r="F331" s="101" t="s">
        <v>25</v>
      </c>
      <c r="G331" s="107">
        <v>2.0</v>
      </c>
      <c r="H331" s="104">
        <f t="shared" si="61"/>
        <v>4</v>
      </c>
      <c r="I331" s="105">
        <f t="shared" si="62"/>
        <v>3</v>
      </c>
      <c r="J331" s="105">
        <f t="shared" si="63"/>
        <v>2</v>
      </c>
      <c r="K331" s="106">
        <v>1.0</v>
      </c>
      <c r="L331" s="107">
        <v>1.0</v>
      </c>
      <c r="M331" s="107">
        <v>0.0</v>
      </c>
      <c r="N331" s="107">
        <v>0.0</v>
      </c>
      <c r="O331" s="107">
        <v>0.0</v>
      </c>
      <c r="P331" s="107">
        <v>1.0</v>
      </c>
      <c r="Q331" s="107">
        <v>0.0</v>
      </c>
      <c r="R331" s="107">
        <v>1.0</v>
      </c>
      <c r="S331" s="107">
        <v>0.0</v>
      </c>
      <c r="T331" s="107">
        <v>0.0</v>
      </c>
      <c r="U331" s="107">
        <v>0.0</v>
      </c>
      <c r="V331" s="107">
        <v>0.0</v>
      </c>
      <c r="W331" s="107">
        <v>2.0</v>
      </c>
      <c r="X331" s="108">
        <v>1.0</v>
      </c>
    </row>
    <row r="332" ht="15.75" customHeight="1">
      <c r="A332" s="109">
        <v>27.0</v>
      </c>
      <c r="B332" s="110">
        <v>45858.0</v>
      </c>
      <c r="C332" s="111">
        <v>0.8333333333333334</v>
      </c>
      <c r="D332" s="112" t="s">
        <v>54</v>
      </c>
      <c r="E332" s="112" t="s">
        <v>66</v>
      </c>
      <c r="F332" s="112" t="s">
        <v>26</v>
      </c>
      <c r="G332" s="118">
        <v>3.0</v>
      </c>
      <c r="H332" s="115">
        <f t="shared" si="61"/>
        <v>4</v>
      </c>
      <c r="I332" s="116">
        <f t="shared" si="62"/>
        <v>3</v>
      </c>
      <c r="J332" s="116">
        <f t="shared" si="63"/>
        <v>0</v>
      </c>
      <c r="K332" s="117">
        <v>0.0</v>
      </c>
      <c r="L332" s="118">
        <v>0.0</v>
      </c>
      <c r="M332" s="118">
        <v>0.0</v>
      </c>
      <c r="N332" s="118">
        <v>0.0</v>
      </c>
      <c r="O332" s="118">
        <v>0.0</v>
      </c>
      <c r="P332" s="118">
        <v>2.0</v>
      </c>
      <c r="Q332" s="118">
        <v>1.0</v>
      </c>
      <c r="R332" s="118">
        <v>0.0</v>
      </c>
      <c r="S332" s="118">
        <v>0.0</v>
      </c>
      <c r="T332" s="118">
        <v>0.0</v>
      </c>
      <c r="U332" s="118">
        <v>0.0</v>
      </c>
      <c r="V332" s="118">
        <v>1.0</v>
      </c>
      <c r="W332" s="118">
        <v>1.0</v>
      </c>
      <c r="X332" s="119">
        <v>1.0</v>
      </c>
    </row>
    <row r="333" ht="15.75" customHeight="1">
      <c r="A333" s="109">
        <v>27.0</v>
      </c>
      <c r="B333" s="99">
        <v>45858.0</v>
      </c>
      <c r="C333" s="100">
        <v>0.8333333333333334</v>
      </c>
      <c r="D333" s="101" t="s">
        <v>54</v>
      </c>
      <c r="E333" s="101" t="s">
        <v>66</v>
      </c>
      <c r="F333" s="101" t="s">
        <v>30</v>
      </c>
      <c r="G333" s="107">
        <v>4.0</v>
      </c>
      <c r="H333" s="104">
        <f t="shared" si="61"/>
        <v>4</v>
      </c>
      <c r="I333" s="105">
        <f t="shared" si="62"/>
        <v>3</v>
      </c>
      <c r="J333" s="105">
        <f t="shared" si="63"/>
        <v>2</v>
      </c>
      <c r="K333" s="106">
        <v>1.0</v>
      </c>
      <c r="L333" s="107">
        <v>1.0</v>
      </c>
      <c r="M333" s="107">
        <v>0.0</v>
      </c>
      <c r="N333" s="107">
        <v>0.0</v>
      </c>
      <c r="O333" s="107">
        <v>0.0</v>
      </c>
      <c r="P333" s="107">
        <v>0.0</v>
      </c>
      <c r="Q333" s="107">
        <v>1.0</v>
      </c>
      <c r="R333" s="107">
        <v>0.0</v>
      </c>
      <c r="S333" s="107">
        <v>0.0</v>
      </c>
      <c r="T333" s="107">
        <v>0.0</v>
      </c>
      <c r="U333" s="107">
        <v>0.0</v>
      </c>
      <c r="V333" s="107">
        <v>1.0</v>
      </c>
      <c r="W333" s="107">
        <v>2.0</v>
      </c>
      <c r="X333" s="108">
        <v>2.0</v>
      </c>
    </row>
    <row r="334" ht="15.75" customHeight="1">
      <c r="A334" s="109">
        <v>27.0</v>
      </c>
      <c r="B334" s="110">
        <v>45858.0</v>
      </c>
      <c r="C334" s="111">
        <v>0.8333333333333334</v>
      </c>
      <c r="D334" s="112" t="s">
        <v>54</v>
      </c>
      <c r="E334" s="112" t="s">
        <v>66</v>
      </c>
      <c r="F334" s="101" t="s">
        <v>37</v>
      </c>
      <c r="G334" s="118">
        <v>5.0</v>
      </c>
      <c r="H334" s="104">
        <f t="shared" si="61"/>
        <v>4</v>
      </c>
      <c r="I334" s="105">
        <f t="shared" si="62"/>
        <v>4</v>
      </c>
      <c r="J334" s="105">
        <f t="shared" si="63"/>
        <v>1</v>
      </c>
      <c r="K334" s="106">
        <v>1.0</v>
      </c>
      <c r="L334" s="107">
        <v>0.0</v>
      </c>
      <c r="M334" s="107">
        <v>0.0</v>
      </c>
      <c r="N334" s="107">
        <v>0.0</v>
      </c>
      <c r="O334" s="107">
        <v>0.0</v>
      </c>
      <c r="P334" s="107">
        <v>1.0</v>
      </c>
      <c r="Q334" s="107">
        <v>0.0</v>
      </c>
      <c r="R334" s="107">
        <v>0.0</v>
      </c>
      <c r="S334" s="107">
        <v>0.0</v>
      </c>
      <c r="T334" s="107">
        <v>0.0</v>
      </c>
      <c r="U334" s="107">
        <v>0.0</v>
      </c>
      <c r="V334" s="107">
        <v>2.0</v>
      </c>
      <c r="W334" s="107">
        <v>1.0</v>
      </c>
      <c r="X334" s="108">
        <v>2.0</v>
      </c>
    </row>
    <row r="335" ht="15.75" customHeight="1">
      <c r="A335" s="109">
        <v>27.0</v>
      </c>
      <c r="B335" s="99">
        <v>45858.0</v>
      </c>
      <c r="C335" s="100">
        <v>0.8333333333333334</v>
      </c>
      <c r="D335" s="101" t="s">
        <v>54</v>
      </c>
      <c r="E335" s="112" t="s">
        <v>66</v>
      </c>
      <c r="F335" s="112" t="s">
        <v>29</v>
      </c>
      <c r="G335" s="107">
        <v>6.0</v>
      </c>
      <c r="H335" s="115">
        <f t="shared" si="61"/>
        <v>4</v>
      </c>
      <c r="I335" s="116">
        <f t="shared" si="62"/>
        <v>2</v>
      </c>
      <c r="J335" s="116">
        <f t="shared" si="63"/>
        <v>2</v>
      </c>
      <c r="K335" s="117">
        <v>1.0</v>
      </c>
      <c r="L335" s="118">
        <v>0.0</v>
      </c>
      <c r="M335" s="118">
        <v>1.0</v>
      </c>
      <c r="N335" s="118">
        <v>0.0</v>
      </c>
      <c r="O335" s="118">
        <v>0.0</v>
      </c>
      <c r="P335" s="118">
        <v>0.0</v>
      </c>
      <c r="Q335" s="118">
        <v>2.0</v>
      </c>
      <c r="R335" s="118">
        <v>0.0</v>
      </c>
      <c r="S335" s="118">
        <v>0.0</v>
      </c>
      <c r="T335" s="118">
        <v>0.0</v>
      </c>
      <c r="U335" s="118">
        <v>0.0</v>
      </c>
      <c r="V335" s="118">
        <v>0.0</v>
      </c>
      <c r="W335" s="118">
        <v>0.0</v>
      </c>
      <c r="X335" s="119">
        <v>0.0</v>
      </c>
    </row>
    <row r="336" ht="15.75" customHeight="1">
      <c r="A336" s="109">
        <v>27.0</v>
      </c>
      <c r="B336" s="110">
        <v>45858.0</v>
      </c>
      <c r="C336" s="111">
        <v>0.8333333333333334</v>
      </c>
      <c r="D336" s="112" t="s">
        <v>54</v>
      </c>
      <c r="E336" s="112" t="s">
        <v>66</v>
      </c>
      <c r="F336" s="112" t="s">
        <v>27</v>
      </c>
      <c r="G336" s="118">
        <v>7.0</v>
      </c>
      <c r="H336" s="115">
        <f t="shared" si="61"/>
        <v>4</v>
      </c>
      <c r="I336" s="116">
        <f t="shared" si="62"/>
        <v>1</v>
      </c>
      <c r="J336" s="116">
        <f t="shared" si="63"/>
        <v>0</v>
      </c>
      <c r="K336" s="117">
        <v>0.0</v>
      </c>
      <c r="L336" s="118">
        <v>0.0</v>
      </c>
      <c r="M336" s="118">
        <v>0.0</v>
      </c>
      <c r="N336" s="118">
        <v>0.0</v>
      </c>
      <c r="O336" s="118">
        <v>0.0</v>
      </c>
      <c r="P336" s="118">
        <v>0.0</v>
      </c>
      <c r="Q336" s="118">
        <v>2.0</v>
      </c>
      <c r="R336" s="118">
        <v>1.0</v>
      </c>
      <c r="S336" s="118">
        <v>0.0</v>
      </c>
      <c r="T336" s="118">
        <v>0.0</v>
      </c>
      <c r="U336" s="118">
        <v>1.0</v>
      </c>
      <c r="V336" s="118">
        <v>0.0</v>
      </c>
      <c r="W336" s="118">
        <v>0.0</v>
      </c>
      <c r="X336" s="119">
        <v>2.0</v>
      </c>
    </row>
    <row r="337" ht="15.75" customHeight="1">
      <c r="A337" s="109">
        <v>27.0</v>
      </c>
      <c r="B337" s="99">
        <v>45858.0</v>
      </c>
      <c r="C337" s="100">
        <v>0.8333333333333334</v>
      </c>
      <c r="D337" s="101" t="s">
        <v>54</v>
      </c>
      <c r="E337" s="112" t="s">
        <v>66</v>
      </c>
      <c r="F337" s="133" t="s">
        <v>36</v>
      </c>
      <c r="G337" s="107">
        <v>8.0</v>
      </c>
      <c r="H337" s="134">
        <f t="shared" si="61"/>
        <v>4</v>
      </c>
      <c r="I337" s="135">
        <f t="shared" si="62"/>
        <v>3</v>
      </c>
      <c r="J337" s="135">
        <f t="shared" si="63"/>
        <v>0</v>
      </c>
      <c r="K337" s="136">
        <v>0.0</v>
      </c>
      <c r="L337" s="137">
        <v>0.0</v>
      </c>
      <c r="M337" s="137">
        <v>0.0</v>
      </c>
      <c r="N337" s="137">
        <v>0.0</v>
      </c>
      <c r="O337" s="137">
        <v>0.0</v>
      </c>
      <c r="P337" s="137">
        <v>0.0</v>
      </c>
      <c r="Q337" s="137">
        <v>1.0</v>
      </c>
      <c r="R337" s="137">
        <v>0.0</v>
      </c>
      <c r="S337" s="137">
        <v>0.0</v>
      </c>
      <c r="T337" s="137">
        <v>0.0</v>
      </c>
      <c r="U337" s="137">
        <v>0.0</v>
      </c>
      <c r="V337" s="137">
        <v>3.0</v>
      </c>
      <c r="W337" s="137">
        <v>0.0</v>
      </c>
      <c r="X337" s="138">
        <v>1.0</v>
      </c>
    </row>
    <row r="338" ht="15.75" customHeight="1">
      <c r="A338" s="109">
        <v>27.0</v>
      </c>
      <c r="B338" s="110">
        <v>45858.0</v>
      </c>
      <c r="C338" s="111">
        <v>0.8333333333333334</v>
      </c>
      <c r="D338" s="112" t="s">
        <v>54</v>
      </c>
      <c r="E338" s="112" t="s">
        <v>66</v>
      </c>
      <c r="F338" s="101" t="s">
        <v>38</v>
      </c>
      <c r="G338" s="118">
        <v>9.0</v>
      </c>
      <c r="H338" s="104">
        <f t="shared" si="61"/>
        <v>4</v>
      </c>
      <c r="I338" s="105">
        <f t="shared" si="62"/>
        <v>4</v>
      </c>
      <c r="J338" s="105">
        <f t="shared" si="63"/>
        <v>0</v>
      </c>
      <c r="K338" s="106">
        <v>0.0</v>
      </c>
      <c r="L338" s="107">
        <v>0.0</v>
      </c>
      <c r="M338" s="107">
        <v>0.0</v>
      </c>
      <c r="N338" s="107">
        <v>0.0</v>
      </c>
      <c r="O338" s="107">
        <v>0.0</v>
      </c>
      <c r="P338" s="107">
        <v>1.0</v>
      </c>
      <c r="Q338" s="107">
        <v>0.0</v>
      </c>
      <c r="R338" s="107">
        <v>0.0</v>
      </c>
      <c r="S338" s="107">
        <v>0.0</v>
      </c>
      <c r="T338" s="107">
        <v>0.0</v>
      </c>
      <c r="U338" s="107">
        <v>0.0</v>
      </c>
      <c r="V338" s="107">
        <v>3.0</v>
      </c>
      <c r="W338" s="107">
        <v>0.0</v>
      </c>
      <c r="X338" s="108">
        <v>0.0</v>
      </c>
    </row>
    <row r="339" ht="15.75" customHeight="1">
      <c r="A339" s="109">
        <v>27.0</v>
      </c>
      <c r="B339" s="99">
        <v>45858.0</v>
      </c>
      <c r="C339" s="100">
        <v>0.8333333333333334</v>
      </c>
      <c r="D339" s="101" t="s">
        <v>54</v>
      </c>
      <c r="E339" s="112" t="s">
        <v>66</v>
      </c>
      <c r="F339" s="112" t="s">
        <v>71</v>
      </c>
      <c r="G339" s="107">
        <v>10.0</v>
      </c>
      <c r="H339" s="115">
        <f t="shared" si="61"/>
        <v>4</v>
      </c>
      <c r="I339" s="116">
        <f t="shared" si="62"/>
        <v>4</v>
      </c>
      <c r="J339" s="116">
        <f t="shared" si="63"/>
        <v>1</v>
      </c>
      <c r="K339" s="117">
        <v>1.0</v>
      </c>
      <c r="L339" s="118">
        <v>0.0</v>
      </c>
      <c r="M339" s="118">
        <v>0.0</v>
      </c>
      <c r="N339" s="118">
        <v>0.0</v>
      </c>
      <c r="O339" s="118">
        <v>0.0</v>
      </c>
      <c r="P339" s="118">
        <v>0.0</v>
      </c>
      <c r="Q339" s="118">
        <v>0.0</v>
      </c>
      <c r="R339" s="118">
        <v>0.0</v>
      </c>
      <c r="S339" s="118">
        <v>0.0</v>
      </c>
      <c r="T339" s="118">
        <v>0.0</v>
      </c>
      <c r="U339" s="118">
        <v>2.0</v>
      </c>
      <c r="V339" s="118">
        <v>1.0</v>
      </c>
      <c r="W339" s="118">
        <v>1.0</v>
      </c>
      <c r="X339" s="119">
        <v>0.0</v>
      </c>
    </row>
    <row r="340" ht="15.75" customHeight="1">
      <c r="A340" s="121">
        <v>27.0</v>
      </c>
      <c r="B340" s="122">
        <v>45858.0</v>
      </c>
      <c r="C340" s="123">
        <v>0.8333333333333334</v>
      </c>
      <c r="D340" s="124" t="s">
        <v>54</v>
      </c>
      <c r="E340" s="124" t="s">
        <v>66</v>
      </c>
      <c r="F340" s="124" t="s">
        <v>44</v>
      </c>
      <c r="G340" s="125"/>
      <c r="H340" s="126">
        <f t="shared" si="61"/>
        <v>40</v>
      </c>
      <c r="I340" s="127">
        <f t="shared" si="62"/>
        <v>30</v>
      </c>
      <c r="J340" s="127">
        <f t="shared" si="63"/>
        <v>11</v>
      </c>
      <c r="K340" s="126">
        <f t="shared" ref="K340:X340" si="75">SUBTOTAL(109,K330:K339)</f>
        <v>7</v>
      </c>
      <c r="L340" s="127">
        <f t="shared" si="75"/>
        <v>3</v>
      </c>
      <c r="M340" s="127">
        <f t="shared" si="75"/>
        <v>1</v>
      </c>
      <c r="N340" s="127">
        <f t="shared" si="75"/>
        <v>0</v>
      </c>
      <c r="O340" s="127">
        <f t="shared" si="75"/>
        <v>0</v>
      </c>
      <c r="P340" s="127">
        <f t="shared" si="75"/>
        <v>5</v>
      </c>
      <c r="Q340" s="127">
        <f t="shared" si="75"/>
        <v>8</v>
      </c>
      <c r="R340" s="127">
        <f t="shared" si="75"/>
        <v>2</v>
      </c>
      <c r="S340" s="127">
        <f t="shared" si="75"/>
        <v>0</v>
      </c>
      <c r="T340" s="127">
        <f t="shared" si="75"/>
        <v>0</v>
      </c>
      <c r="U340" s="127">
        <f t="shared" si="75"/>
        <v>3</v>
      </c>
      <c r="V340" s="127">
        <f t="shared" si="75"/>
        <v>11</v>
      </c>
      <c r="W340" s="127">
        <f t="shared" si="75"/>
        <v>9</v>
      </c>
      <c r="X340" s="128">
        <f t="shared" si="75"/>
        <v>9</v>
      </c>
    </row>
    <row r="341" ht="15.75" customHeight="1">
      <c r="A341" s="109">
        <v>28.0</v>
      </c>
      <c r="B341" s="110">
        <v>45858.0</v>
      </c>
      <c r="C341" s="111">
        <v>0.8958333333333334</v>
      </c>
      <c r="D341" s="112" t="s">
        <v>54</v>
      </c>
      <c r="E341" s="112" t="s">
        <v>55</v>
      </c>
      <c r="F341" s="112" t="s">
        <v>28</v>
      </c>
      <c r="G341" s="118">
        <v>1.0</v>
      </c>
      <c r="H341" s="115">
        <f t="shared" si="61"/>
        <v>5</v>
      </c>
      <c r="I341" s="116">
        <f t="shared" si="62"/>
        <v>5</v>
      </c>
      <c r="J341" s="116">
        <f t="shared" si="63"/>
        <v>4</v>
      </c>
      <c r="K341" s="117">
        <v>3.0</v>
      </c>
      <c r="L341" s="118">
        <v>1.0</v>
      </c>
      <c r="M341" s="118">
        <v>0.0</v>
      </c>
      <c r="N341" s="118">
        <v>0.0</v>
      </c>
      <c r="O341" s="118">
        <v>0.0</v>
      </c>
      <c r="P341" s="118">
        <v>0.0</v>
      </c>
      <c r="Q341" s="118">
        <v>0.0</v>
      </c>
      <c r="R341" s="118">
        <v>0.0</v>
      </c>
      <c r="S341" s="118">
        <v>0.0</v>
      </c>
      <c r="T341" s="118">
        <v>0.0</v>
      </c>
      <c r="U341" s="118">
        <v>1.0</v>
      </c>
      <c r="V341" s="118">
        <v>0.0</v>
      </c>
      <c r="W341" s="118">
        <v>2.0</v>
      </c>
      <c r="X341" s="119">
        <v>2.0</v>
      </c>
    </row>
    <row r="342" ht="15.75" customHeight="1">
      <c r="A342" s="109">
        <v>28.0</v>
      </c>
      <c r="B342" s="99">
        <v>45858.0</v>
      </c>
      <c r="C342" s="100">
        <v>0.8958333333333334</v>
      </c>
      <c r="D342" s="101" t="s">
        <v>54</v>
      </c>
      <c r="E342" s="101" t="s">
        <v>55</v>
      </c>
      <c r="F342" s="101" t="s">
        <v>25</v>
      </c>
      <c r="G342" s="107">
        <v>2.0</v>
      </c>
      <c r="H342" s="104">
        <f t="shared" si="61"/>
        <v>5</v>
      </c>
      <c r="I342" s="105">
        <f t="shared" si="62"/>
        <v>5</v>
      </c>
      <c r="J342" s="105">
        <f t="shared" si="63"/>
        <v>4</v>
      </c>
      <c r="K342" s="106">
        <v>3.0</v>
      </c>
      <c r="L342" s="107">
        <v>0.0</v>
      </c>
      <c r="M342" s="107">
        <v>1.0</v>
      </c>
      <c r="N342" s="107">
        <v>0.0</v>
      </c>
      <c r="O342" s="107">
        <v>0.0</v>
      </c>
      <c r="P342" s="107">
        <v>0.0</v>
      </c>
      <c r="Q342" s="107">
        <v>0.0</v>
      </c>
      <c r="R342" s="107">
        <v>0.0</v>
      </c>
      <c r="S342" s="107">
        <v>0.0</v>
      </c>
      <c r="T342" s="107">
        <v>0.0</v>
      </c>
      <c r="U342" s="107">
        <v>0.0</v>
      </c>
      <c r="V342" s="107">
        <v>1.0</v>
      </c>
      <c r="W342" s="107">
        <v>3.0</v>
      </c>
      <c r="X342" s="108">
        <v>3.0</v>
      </c>
    </row>
    <row r="343" ht="15.75" customHeight="1">
      <c r="A343" s="109">
        <v>28.0</v>
      </c>
      <c r="B343" s="110">
        <v>45858.0</v>
      </c>
      <c r="C343" s="111">
        <v>0.8958333333333334</v>
      </c>
      <c r="D343" s="112" t="s">
        <v>54</v>
      </c>
      <c r="E343" s="112" t="s">
        <v>55</v>
      </c>
      <c r="F343" s="112" t="s">
        <v>26</v>
      </c>
      <c r="G343" s="118">
        <v>3.0</v>
      </c>
      <c r="H343" s="115">
        <f t="shared" si="61"/>
        <v>5</v>
      </c>
      <c r="I343" s="116">
        <f t="shared" si="62"/>
        <v>5</v>
      </c>
      <c r="J343" s="116">
        <f t="shared" si="63"/>
        <v>4</v>
      </c>
      <c r="K343" s="117">
        <v>2.0</v>
      </c>
      <c r="L343" s="118">
        <v>1.0</v>
      </c>
      <c r="M343" s="118">
        <v>0.0</v>
      </c>
      <c r="N343" s="118">
        <v>1.0</v>
      </c>
      <c r="O343" s="118">
        <v>0.0</v>
      </c>
      <c r="P343" s="118">
        <v>0.0</v>
      </c>
      <c r="Q343" s="118">
        <v>0.0</v>
      </c>
      <c r="R343" s="118">
        <v>0.0</v>
      </c>
      <c r="S343" s="118">
        <v>0.0</v>
      </c>
      <c r="T343" s="118">
        <v>0.0</v>
      </c>
      <c r="U343" s="118">
        <v>0.0</v>
      </c>
      <c r="V343" s="118">
        <v>1.0</v>
      </c>
      <c r="W343" s="118">
        <v>3.0</v>
      </c>
      <c r="X343" s="119">
        <v>4.0</v>
      </c>
    </row>
    <row r="344" ht="15.75" customHeight="1">
      <c r="A344" s="109">
        <v>28.0</v>
      </c>
      <c r="B344" s="99">
        <v>45858.0</v>
      </c>
      <c r="C344" s="100">
        <v>0.8958333333333334</v>
      </c>
      <c r="D344" s="101" t="s">
        <v>54</v>
      </c>
      <c r="E344" s="101" t="s">
        <v>55</v>
      </c>
      <c r="F344" s="101" t="s">
        <v>30</v>
      </c>
      <c r="G344" s="107">
        <v>4.0</v>
      </c>
      <c r="H344" s="104">
        <f t="shared" si="61"/>
        <v>5</v>
      </c>
      <c r="I344" s="105">
        <f t="shared" si="62"/>
        <v>5</v>
      </c>
      <c r="J344" s="105">
        <f t="shared" si="63"/>
        <v>4</v>
      </c>
      <c r="K344" s="106">
        <v>2.0</v>
      </c>
      <c r="L344" s="107">
        <v>1.0</v>
      </c>
      <c r="M344" s="107">
        <v>0.0</v>
      </c>
      <c r="N344" s="107">
        <v>0.0</v>
      </c>
      <c r="O344" s="107">
        <v>1.0</v>
      </c>
      <c r="P344" s="107">
        <v>0.0</v>
      </c>
      <c r="Q344" s="107">
        <v>0.0</v>
      </c>
      <c r="R344" s="107">
        <v>0.0</v>
      </c>
      <c r="S344" s="107">
        <v>0.0</v>
      </c>
      <c r="T344" s="107">
        <v>0.0</v>
      </c>
      <c r="U344" s="107">
        <v>0.0</v>
      </c>
      <c r="V344" s="107">
        <v>1.0</v>
      </c>
      <c r="W344" s="107">
        <v>2.0</v>
      </c>
      <c r="X344" s="108">
        <v>3.0</v>
      </c>
    </row>
    <row r="345" ht="15.75" customHeight="1">
      <c r="A345" s="109">
        <v>28.0</v>
      </c>
      <c r="B345" s="110">
        <v>45858.0</v>
      </c>
      <c r="C345" s="111">
        <v>0.8958333333333334</v>
      </c>
      <c r="D345" s="112" t="s">
        <v>54</v>
      </c>
      <c r="E345" s="112" t="s">
        <v>55</v>
      </c>
      <c r="F345" s="101" t="s">
        <v>37</v>
      </c>
      <c r="G345" s="118">
        <v>5.0</v>
      </c>
      <c r="H345" s="104">
        <f t="shared" si="61"/>
        <v>4</v>
      </c>
      <c r="I345" s="105">
        <f t="shared" si="62"/>
        <v>4</v>
      </c>
      <c r="J345" s="105">
        <f t="shared" si="63"/>
        <v>1</v>
      </c>
      <c r="K345" s="106">
        <v>1.0</v>
      </c>
      <c r="L345" s="107">
        <v>0.0</v>
      </c>
      <c r="M345" s="107">
        <v>0.0</v>
      </c>
      <c r="N345" s="107">
        <v>0.0</v>
      </c>
      <c r="O345" s="107">
        <v>0.0</v>
      </c>
      <c r="P345" s="107">
        <v>1.0</v>
      </c>
      <c r="Q345" s="107">
        <v>0.0</v>
      </c>
      <c r="R345" s="107">
        <v>0.0</v>
      </c>
      <c r="S345" s="107">
        <v>0.0</v>
      </c>
      <c r="T345" s="107">
        <v>0.0</v>
      </c>
      <c r="U345" s="107">
        <v>1.0</v>
      </c>
      <c r="V345" s="107">
        <v>1.0</v>
      </c>
      <c r="W345" s="107">
        <v>0.0</v>
      </c>
      <c r="X345" s="108">
        <v>0.0</v>
      </c>
    </row>
    <row r="346" ht="15.75" customHeight="1">
      <c r="A346" s="109">
        <v>28.0</v>
      </c>
      <c r="B346" s="99">
        <v>45858.0</v>
      </c>
      <c r="C346" s="100">
        <v>0.8958333333333334</v>
      </c>
      <c r="D346" s="101" t="s">
        <v>54</v>
      </c>
      <c r="E346" s="112" t="s">
        <v>55</v>
      </c>
      <c r="F346" s="112" t="s">
        <v>29</v>
      </c>
      <c r="G346" s="107">
        <v>6.0</v>
      </c>
      <c r="H346" s="115">
        <f t="shared" si="61"/>
        <v>4</v>
      </c>
      <c r="I346" s="116">
        <f t="shared" si="62"/>
        <v>2</v>
      </c>
      <c r="J346" s="116">
        <f t="shared" si="63"/>
        <v>0</v>
      </c>
      <c r="K346" s="117">
        <v>0.0</v>
      </c>
      <c r="L346" s="118">
        <v>0.0</v>
      </c>
      <c r="M346" s="118">
        <v>0.0</v>
      </c>
      <c r="N346" s="118">
        <v>0.0</v>
      </c>
      <c r="O346" s="118">
        <v>0.0</v>
      </c>
      <c r="P346" s="118">
        <v>1.0</v>
      </c>
      <c r="Q346" s="118">
        <v>2.0</v>
      </c>
      <c r="R346" s="118">
        <v>0.0</v>
      </c>
      <c r="S346" s="118">
        <v>0.0</v>
      </c>
      <c r="T346" s="118">
        <v>0.0</v>
      </c>
      <c r="U346" s="118">
        <v>0.0</v>
      </c>
      <c r="V346" s="118">
        <v>1.0</v>
      </c>
      <c r="W346" s="118">
        <v>2.0</v>
      </c>
      <c r="X346" s="119">
        <v>0.0</v>
      </c>
    </row>
    <row r="347" ht="15.75" customHeight="1">
      <c r="A347" s="109">
        <v>28.0</v>
      </c>
      <c r="B347" s="110">
        <v>45858.0</v>
      </c>
      <c r="C347" s="111">
        <v>0.8958333333333334</v>
      </c>
      <c r="D347" s="112" t="s">
        <v>54</v>
      </c>
      <c r="E347" s="112" t="s">
        <v>55</v>
      </c>
      <c r="F347" s="112" t="s">
        <v>27</v>
      </c>
      <c r="G347" s="118">
        <v>7.0</v>
      </c>
      <c r="H347" s="115">
        <f t="shared" si="61"/>
        <v>4</v>
      </c>
      <c r="I347" s="116">
        <f t="shared" si="62"/>
        <v>3</v>
      </c>
      <c r="J347" s="116">
        <f t="shared" si="63"/>
        <v>3</v>
      </c>
      <c r="K347" s="117">
        <v>1.0</v>
      </c>
      <c r="L347" s="118">
        <v>2.0</v>
      </c>
      <c r="M347" s="118">
        <v>0.0</v>
      </c>
      <c r="N347" s="118">
        <v>0.0</v>
      </c>
      <c r="O347" s="118">
        <v>0.0</v>
      </c>
      <c r="P347" s="118">
        <v>0.0</v>
      </c>
      <c r="Q347" s="118">
        <v>1.0</v>
      </c>
      <c r="R347" s="118">
        <v>0.0</v>
      </c>
      <c r="S347" s="118">
        <v>0.0</v>
      </c>
      <c r="T347" s="118">
        <v>0.0</v>
      </c>
      <c r="U347" s="118">
        <v>0.0</v>
      </c>
      <c r="V347" s="118">
        <v>0.0</v>
      </c>
      <c r="W347" s="118">
        <v>3.0</v>
      </c>
      <c r="X347" s="119">
        <v>0.0</v>
      </c>
    </row>
    <row r="348" ht="15.75" customHeight="1">
      <c r="A348" s="109">
        <v>28.0</v>
      </c>
      <c r="B348" s="99">
        <v>45858.0</v>
      </c>
      <c r="C348" s="100">
        <v>0.8958333333333334</v>
      </c>
      <c r="D348" s="101" t="s">
        <v>54</v>
      </c>
      <c r="E348" s="112" t="s">
        <v>55</v>
      </c>
      <c r="F348" s="133" t="s">
        <v>36</v>
      </c>
      <c r="G348" s="107">
        <v>8.0</v>
      </c>
      <c r="H348" s="134">
        <f t="shared" si="61"/>
        <v>4</v>
      </c>
      <c r="I348" s="135">
        <f t="shared" si="62"/>
        <v>4</v>
      </c>
      <c r="J348" s="135">
        <f t="shared" si="63"/>
        <v>4</v>
      </c>
      <c r="K348" s="136">
        <v>3.0</v>
      </c>
      <c r="L348" s="137">
        <v>0.0</v>
      </c>
      <c r="M348" s="137">
        <v>1.0</v>
      </c>
      <c r="N348" s="137">
        <v>0.0</v>
      </c>
      <c r="O348" s="137">
        <v>0.0</v>
      </c>
      <c r="P348" s="137">
        <v>0.0</v>
      </c>
      <c r="Q348" s="137">
        <v>0.0</v>
      </c>
      <c r="R348" s="137">
        <v>0.0</v>
      </c>
      <c r="S348" s="137">
        <v>0.0</v>
      </c>
      <c r="T348" s="137">
        <v>0.0</v>
      </c>
      <c r="U348" s="137">
        <v>0.0</v>
      </c>
      <c r="V348" s="137">
        <v>0.0</v>
      </c>
      <c r="W348" s="137">
        <v>2.0</v>
      </c>
      <c r="X348" s="138">
        <v>5.0</v>
      </c>
    </row>
    <row r="349" ht="15.75" customHeight="1">
      <c r="A349" s="109">
        <v>28.0</v>
      </c>
      <c r="B349" s="110">
        <v>45858.0</v>
      </c>
      <c r="C349" s="111">
        <v>0.8958333333333334</v>
      </c>
      <c r="D349" s="112" t="s">
        <v>54</v>
      </c>
      <c r="E349" s="112" t="s">
        <v>55</v>
      </c>
      <c r="F349" s="101" t="s">
        <v>38</v>
      </c>
      <c r="G349" s="118">
        <v>9.0</v>
      </c>
      <c r="H349" s="104">
        <f t="shared" si="61"/>
        <v>4</v>
      </c>
      <c r="I349" s="105">
        <f t="shared" si="62"/>
        <v>4</v>
      </c>
      <c r="J349" s="105">
        <f t="shared" si="63"/>
        <v>2</v>
      </c>
      <c r="K349" s="106">
        <v>2.0</v>
      </c>
      <c r="L349" s="107">
        <v>0.0</v>
      </c>
      <c r="M349" s="107">
        <v>0.0</v>
      </c>
      <c r="N349" s="107">
        <v>0.0</v>
      </c>
      <c r="O349" s="107">
        <v>0.0</v>
      </c>
      <c r="P349" s="107">
        <v>1.0</v>
      </c>
      <c r="Q349" s="107">
        <v>0.0</v>
      </c>
      <c r="R349" s="107">
        <v>0.0</v>
      </c>
      <c r="S349" s="107">
        <v>0.0</v>
      </c>
      <c r="T349" s="107">
        <v>0.0</v>
      </c>
      <c r="U349" s="107">
        <v>0.0</v>
      </c>
      <c r="V349" s="107">
        <v>1.0</v>
      </c>
      <c r="W349" s="107">
        <v>1.0</v>
      </c>
      <c r="X349" s="108">
        <v>1.0</v>
      </c>
    </row>
    <row r="350" ht="15.75" customHeight="1">
      <c r="A350" s="121">
        <v>28.0</v>
      </c>
      <c r="B350" s="122">
        <v>45858.0</v>
      </c>
      <c r="C350" s="123">
        <v>0.8958333333333334</v>
      </c>
      <c r="D350" s="124" t="s">
        <v>54</v>
      </c>
      <c r="E350" s="124" t="s">
        <v>55</v>
      </c>
      <c r="F350" s="124" t="s">
        <v>44</v>
      </c>
      <c r="G350" s="125"/>
      <c r="H350" s="126">
        <f t="shared" si="61"/>
        <v>40</v>
      </c>
      <c r="I350" s="127">
        <f t="shared" si="62"/>
        <v>37</v>
      </c>
      <c r="J350" s="127">
        <f t="shared" si="63"/>
        <v>26</v>
      </c>
      <c r="K350" s="126">
        <f t="shared" ref="K350:X350" si="76">SUBTOTAL(109,K341:K349)</f>
        <v>17</v>
      </c>
      <c r="L350" s="127">
        <f t="shared" si="76"/>
        <v>5</v>
      </c>
      <c r="M350" s="127">
        <f t="shared" si="76"/>
        <v>2</v>
      </c>
      <c r="N350" s="127">
        <f t="shared" si="76"/>
        <v>1</v>
      </c>
      <c r="O350" s="127">
        <f t="shared" si="76"/>
        <v>1</v>
      </c>
      <c r="P350" s="127">
        <f t="shared" si="76"/>
        <v>3</v>
      </c>
      <c r="Q350" s="127">
        <f t="shared" si="76"/>
        <v>3</v>
      </c>
      <c r="R350" s="127">
        <f t="shared" si="76"/>
        <v>0</v>
      </c>
      <c r="S350" s="127">
        <f t="shared" si="76"/>
        <v>0</v>
      </c>
      <c r="T350" s="127">
        <f t="shared" si="76"/>
        <v>0</v>
      </c>
      <c r="U350" s="127">
        <f t="shared" si="76"/>
        <v>2</v>
      </c>
      <c r="V350" s="127">
        <f t="shared" si="76"/>
        <v>6</v>
      </c>
      <c r="W350" s="127">
        <f t="shared" si="76"/>
        <v>18</v>
      </c>
      <c r="X350" s="128">
        <f t="shared" si="76"/>
        <v>18</v>
      </c>
    </row>
    <row r="351" ht="15.75" customHeight="1">
      <c r="A351" s="109">
        <v>29.0</v>
      </c>
      <c r="B351" s="110">
        <v>45861.0</v>
      </c>
      <c r="C351" s="111">
        <v>0.8958333333333334</v>
      </c>
      <c r="D351" s="112" t="s">
        <v>54</v>
      </c>
      <c r="E351" s="112" t="s">
        <v>57</v>
      </c>
      <c r="F351" s="112" t="s">
        <v>28</v>
      </c>
      <c r="G351" s="118">
        <v>1.0</v>
      </c>
      <c r="H351" s="115">
        <f t="shared" si="61"/>
        <v>5</v>
      </c>
      <c r="I351" s="116">
        <f t="shared" si="62"/>
        <v>5</v>
      </c>
      <c r="J351" s="116">
        <f t="shared" si="63"/>
        <v>4</v>
      </c>
      <c r="K351" s="117">
        <v>2.0</v>
      </c>
      <c r="L351" s="118">
        <v>1.0</v>
      </c>
      <c r="M351" s="118">
        <v>1.0</v>
      </c>
      <c r="N351" s="118">
        <v>0.0</v>
      </c>
      <c r="O351" s="118">
        <v>0.0</v>
      </c>
      <c r="P351" s="118">
        <v>0.0</v>
      </c>
      <c r="Q351" s="118">
        <v>0.0</v>
      </c>
      <c r="R351" s="118">
        <v>0.0</v>
      </c>
      <c r="S351" s="118">
        <v>0.0</v>
      </c>
      <c r="T351" s="118">
        <v>0.0</v>
      </c>
      <c r="U351" s="118">
        <v>0.0</v>
      </c>
      <c r="V351" s="118">
        <v>1.0</v>
      </c>
      <c r="W351" s="118">
        <v>3.0</v>
      </c>
      <c r="X351" s="119">
        <v>3.0</v>
      </c>
    </row>
    <row r="352" ht="15.75" customHeight="1">
      <c r="A352" s="109">
        <v>29.0</v>
      </c>
      <c r="B352" s="99">
        <v>45861.0</v>
      </c>
      <c r="C352" s="100">
        <v>0.8958333333333334</v>
      </c>
      <c r="D352" s="101" t="s">
        <v>54</v>
      </c>
      <c r="E352" s="101" t="s">
        <v>57</v>
      </c>
      <c r="F352" s="101" t="s">
        <v>26</v>
      </c>
      <c r="G352" s="107">
        <v>2.0</v>
      </c>
      <c r="H352" s="104">
        <f t="shared" si="61"/>
        <v>5</v>
      </c>
      <c r="I352" s="105">
        <f t="shared" si="62"/>
        <v>5</v>
      </c>
      <c r="J352" s="105">
        <f t="shared" si="63"/>
        <v>2</v>
      </c>
      <c r="K352" s="106">
        <v>1.0</v>
      </c>
      <c r="L352" s="107">
        <v>1.0</v>
      </c>
      <c r="M352" s="107">
        <v>0.0</v>
      </c>
      <c r="N352" s="107">
        <v>0.0</v>
      </c>
      <c r="O352" s="107">
        <v>0.0</v>
      </c>
      <c r="P352" s="107">
        <v>1.0</v>
      </c>
      <c r="Q352" s="107">
        <v>0.0</v>
      </c>
      <c r="R352" s="107">
        <v>0.0</v>
      </c>
      <c r="S352" s="107">
        <v>0.0</v>
      </c>
      <c r="T352" s="107">
        <v>0.0</v>
      </c>
      <c r="U352" s="107">
        <v>1.0</v>
      </c>
      <c r="V352" s="107">
        <v>1.0</v>
      </c>
      <c r="W352" s="107">
        <v>3.0</v>
      </c>
      <c r="X352" s="108">
        <v>3.0</v>
      </c>
    </row>
    <row r="353" ht="15.75" customHeight="1">
      <c r="A353" s="109">
        <v>29.0</v>
      </c>
      <c r="B353" s="110">
        <v>45861.0</v>
      </c>
      <c r="C353" s="111">
        <v>0.8958333333333334</v>
      </c>
      <c r="D353" s="112" t="s">
        <v>54</v>
      </c>
      <c r="E353" s="112" t="s">
        <v>57</v>
      </c>
      <c r="F353" s="112" t="s">
        <v>27</v>
      </c>
      <c r="G353" s="118">
        <v>3.0</v>
      </c>
      <c r="H353" s="115">
        <f t="shared" si="61"/>
        <v>5</v>
      </c>
      <c r="I353" s="116">
        <f t="shared" si="62"/>
        <v>5</v>
      </c>
      <c r="J353" s="116">
        <f t="shared" si="63"/>
        <v>3</v>
      </c>
      <c r="K353" s="117">
        <v>1.0</v>
      </c>
      <c r="L353" s="118">
        <v>2.0</v>
      </c>
      <c r="M353" s="118">
        <v>0.0</v>
      </c>
      <c r="N353" s="118">
        <v>0.0</v>
      </c>
      <c r="O353" s="118">
        <v>0.0</v>
      </c>
      <c r="P353" s="118">
        <v>0.0</v>
      </c>
      <c r="Q353" s="118">
        <v>0.0</v>
      </c>
      <c r="R353" s="118">
        <v>0.0</v>
      </c>
      <c r="S353" s="118">
        <v>0.0</v>
      </c>
      <c r="T353" s="118">
        <v>0.0</v>
      </c>
      <c r="U353" s="118">
        <v>0.0</v>
      </c>
      <c r="V353" s="118">
        <v>2.0</v>
      </c>
      <c r="W353" s="118">
        <v>3.0</v>
      </c>
      <c r="X353" s="119">
        <v>2.0</v>
      </c>
    </row>
    <row r="354" ht="15.75" customHeight="1">
      <c r="A354" s="109">
        <v>29.0</v>
      </c>
      <c r="B354" s="99">
        <v>45861.0</v>
      </c>
      <c r="C354" s="100">
        <v>0.8958333333333334</v>
      </c>
      <c r="D354" s="101" t="s">
        <v>54</v>
      </c>
      <c r="E354" s="101" t="s">
        <v>57</v>
      </c>
      <c r="F354" s="101" t="s">
        <v>30</v>
      </c>
      <c r="G354" s="107">
        <v>4.0</v>
      </c>
      <c r="H354" s="104">
        <f t="shared" si="61"/>
        <v>5</v>
      </c>
      <c r="I354" s="105">
        <f t="shared" si="62"/>
        <v>3</v>
      </c>
      <c r="J354" s="105">
        <f t="shared" si="63"/>
        <v>3</v>
      </c>
      <c r="K354" s="106">
        <v>3.0</v>
      </c>
      <c r="L354" s="107">
        <v>0.0</v>
      </c>
      <c r="M354" s="107">
        <v>0.0</v>
      </c>
      <c r="N354" s="107">
        <v>0.0</v>
      </c>
      <c r="O354" s="107">
        <v>0.0</v>
      </c>
      <c r="P354" s="107">
        <v>0.0</v>
      </c>
      <c r="Q354" s="107">
        <v>1.0</v>
      </c>
      <c r="R354" s="107">
        <v>1.0</v>
      </c>
      <c r="S354" s="107">
        <v>0.0</v>
      </c>
      <c r="T354" s="107">
        <v>0.0</v>
      </c>
      <c r="U354" s="107">
        <v>0.0</v>
      </c>
      <c r="V354" s="107">
        <v>0.0</v>
      </c>
      <c r="W354" s="107">
        <v>1.0</v>
      </c>
      <c r="X354" s="108">
        <v>3.0</v>
      </c>
    </row>
    <row r="355" ht="15.75" customHeight="1">
      <c r="A355" s="109">
        <v>29.0</v>
      </c>
      <c r="B355" s="110">
        <v>45861.0</v>
      </c>
      <c r="C355" s="111">
        <v>0.8958333333333334</v>
      </c>
      <c r="D355" s="112" t="s">
        <v>54</v>
      </c>
      <c r="E355" s="112" t="s">
        <v>57</v>
      </c>
      <c r="F355" s="101" t="s">
        <v>33</v>
      </c>
      <c r="G355" s="118">
        <v>5.0</v>
      </c>
      <c r="H355" s="104">
        <f t="shared" si="61"/>
        <v>5</v>
      </c>
      <c r="I355" s="105">
        <f t="shared" si="62"/>
        <v>5</v>
      </c>
      <c r="J355" s="105">
        <f t="shared" si="63"/>
        <v>2</v>
      </c>
      <c r="K355" s="106">
        <v>1.0</v>
      </c>
      <c r="L355" s="107">
        <v>1.0</v>
      </c>
      <c r="M355" s="107">
        <v>0.0</v>
      </c>
      <c r="N355" s="107">
        <v>0.0</v>
      </c>
      <c r="O355" s="107">
        <v>0.0</v>
      </c>
      <c r="P355" s="107">
        <v>0.0</v>
      </c>
      <c r="Q355" s="107">
        <v>0.0</v>
      </c>
      <c r="R355" s="107">
        <v>0.0</v>
      </c>
      <c r="S355" s="107">
        <v>0.0</v>
      </c>
      <c r="T355" s="107">
        <v>0.0</v>
      </c>
      <c r="U355" s="107">
        <v>0.0</v>
      </c>
      <c r="V355" s="107">
        <v>3.0</v>
      </c>
      <c r="W355" s="107">
        <v>1.0</v>
      </c>
      <c r="X355" s="108">
        <v>2.0</v>
      </c>
    </row>
    <row r="356" ht="15.75" customHeight="1">
      <c r="A356" s="109">
        <v>29.0</v>
      </c>
      <c r="B356" s="99">
        <v>45861.0</v>
      </c>
      <c r="C356" s="100">
        <v>0.8958333333333334</v>
      </c>
      <c r="D356" s="101" t="s">
        <v>54</v>
      </c>
      <c r="E356" s="112" t="s">
        <v>57</v>
      </c>
      <c r="F356" s="112" t="s">
        <v>29</v>
      </c>
      <c r="G356" s="107">
        <v>6.0</v>
      </c>
      <c r="H356" s="115">
        <f t="shared" si="61"/>
        <v>5</v>
      </c>
      <c r="I356" s="116">
        <f t="shared" si="62"/>
        <v>5</v>
      </c>
      <c r="J356" s="116">
        <f t="shared" si="63"/>
        <v>3</v>
      </c>
      <c r="K356" s="117">
        <v>3.0</v>
      </c>
      <c r="L356" s="118">
        <v>0.0</v>
      </c>
      <c r="M356" s="118">
        <v>0.0</v>
      </c>
      <c r="N356" s="118">
        <v>0.0</v>
      </c>
      <c r="O356" s="118">
        <v>0.0</v>
      </c>
      <c r="P356" s="118">
        <v>1.0</v>
      </c>
      <c r="Q356" s="118">
        <v>0.0</v>
      </c>
      <c r="R356" s="118">
        <v>0.0</v>
      </c>
      <c r="S356" s="118">
        <v>0.0</v>
      </c>
      <c r="T356" s="118">
        <v>0.0</v>
      </c>
      <c r="U356" s="118">
        <v>0.0</v>
      </c>
      <c r="V356" s="118">
        <v>1.0</v>
      </c>
      <c r="W356" s="118">
        <v>1.0</v>
      </c>
      <c r="X356" s="119">
        <v>0.0</v>
      </c>
    </row>
    <row r="357" ht="15.75" customHeight="1">
      <c r="A357" s="109">
        <v>29.0</v>
      </c>
      <c r="B357" s="110">
        <v>45861.0</v>
      </c>
      <c r="C357" s="111">
        <v>0.8958333333333334</v>
      </c>
      <c r="D357" s="112" t="s">
        <v>54</v>
      </c>
      <c r="E357" s="112" t="s">
        <v>57</v>
      </c>
      <c r="F357" s="112" t="s">
        <v>40</v>
      </c>
      <c r="G357" s="118">
        <v>7.0</v>
      </c>
      <c r="H357" s="115">
        <f t="shared" si="61"/>
        <v>5</v>
      </c>
      <c r="I357" s="116">
        <f t="shared" si="62"/>
        <v>5</v>
      </c>
      <c r="J357" s="116">
        <f t="shared" si="63"/>
        <v>4</v>
      </c>
      <c r="K357" s="117">
        <v>4.0</v>
      </c>
      <c r="L357" s="118">
        <v>0.0</v>
      </c>
      <c r="M357" s="118">
        <v>0.0</v>
      </c>
      <c r="N357" s="118">
        <v>0.0</v>
      </c>
      <c r="O357" s="118">
        <v>0.0</v>
      </c>
      <c r="P357" s="118">
        <v>0.0</v>
      </c>
      <c r="Q357" s="118">
        <v>0.0</v>
      </c>
      <c r="R357" s="118">
        <v>0.0</v>
      </c>
      <c r="S357" s="118">
        <v>0.0</v>
      </c>
      <c r="T357" s="118">
        <v>0.0</v>
      </c>
      <c r="U357" s="118">
        <v>0.0</v>
      </c>
      <c r="V357" s="118">
        <v>1.0</v>
      </c>
      <c r="W357" s="118">
        <v>2.0</v>
      </c>
      <c r="X357" s="119">
        <v>2.0</v>
      </c>
    </row>
    <row r="358" ht="15.75" customHeight="1">
      <c r="A358" s="109">
        <v>29.0</v>
      </c>
      <c r="B358" s="99">
        <v>45861.0</v>
      </c>
      <c r="C358" s="100">
        <v>0.8958333333333334</v>
      </c>
      <c r="D358" s="101" t="s">
        <v>54</v>
      </c>
      <c r="E358" s="112" t="s">
        <v>57</v>
      </c>
      <c r="F358" s="133" t="s">
        <v>36</v>
      </c>
      <c r="G358" s="107">
        <v>8.0</v>
      </c>
      <c r="H358" s="134">
        <f t="shared" si="61"/>
        <v>5</v>
      </c>
      <c r="I358" s="135">
        <f t="shared" si="62"/>
        <v>5</v>
      </c>
      <c r="J358" s="135">
        <f t="shared" si="63"/>
        <v>0</v>
      </c>
      <c r="K358" s="136">
        <v>0.0</v>
      </c>
      <c r="L358" s="137">
        <v>0.0</v>
      </c>
      <c r="M358" s="137">
        <v>0.0</v>
      </c>
      <c r="N358" s="137">
        <v>0.0</v>
      </c>
      <c r="O358" s="137">
        <v>0.0</v>
      </c>
      <c r="P358" s="137">
        <v>1.0</v>
      </c>
      <c r="Q358" s="137">
        <v>0.0</v>
      </c>
      <c r="R358" s="137">
        <v>0.0</v>
      </c>
      <c r="S358" s="137">
        <v>0.0</v>
      </c>
      <c r="T358" s="137">
        <v>0.0</v>
      </c>
      <c r="U358" s="137">
        <v>1.0</v>
      </c>
      <c r="V358" s="137">
        <v>3.0</v>
      </c>
      <c r="W358" s="137">
        <v>0.0</v>
      </c>
      <c r="X358" s="138">
        <v>0.0</v>
      </c>
    </row>
    <row r="359" ht="15.75" customHeight="1">
      <c r="A359" s="109">
        <v>29.0</v>
      </c>
      <c r="B359" s="110">
        <v>45861.0</v>
      </c>
      <c r="C359" s="111">
        <v>0.8958333333333334</v>
      </c>
      <c r="D359" s="112" t="s">
        <v>54</v>
      </c>
      <c r="E359" s="112" t="s">
        <v>57</v>
      </c>
      <c r="F359" s="101" t="s">
        <v>38</v>
      </c>
      <c r="G359" s="118">
        <v>9.0</v>
      </c>
      <c r="H359" s="104">
        <f t="shared" si="61"/>
        <v>4</v>
      </c>
      <c r="I359" s="105">
        <f t="shared" si="62"/>
        <v>4</v>
      </c>
      <c r="J359" s="105">
        <f t="shared" si="63"/>
        <v>2</v>
      </c>
      <c r="K359" s="106">
        <v>1.0</v>
      </c>
      <c r="L359" s="107">
        <v>1.0</v>
      </c>
      <c r="M359" s="107">
        <v>0.0</v>
      </c>
      <c r="N359" s="107">
        <v>0.0</v>
      </c>
      <c r="O359" s="107">
        <v>0.0</v>
      </c>
      <c r="P359" s="107">
        <v>0.0</v>
      </c>
      <c r="Q359" s="107">
        <v>0.0</v>
      </c>
      <c r="R359" s="107">
        <v>0.0</v>
      </c>
      <c r="S359" s="107">
        <v>0.0</v>
      </c>
      <c r="T359" s="107">
        <v>0.0</v>
      </c>
      <c r="U359" s="107">
        <v>0.0</v>
      </c>
      <c r="V359" s="107">
        <v>2.0</v>
      </c>
      <c r="W359" s="107">
        <v>1.0</v>
      </c>
      <c r="X359" s="108">
        <v>0.0</v>
      </c>
    </row>
    <row r="360" ht="15.75" customHeight="1">
      <c r="A360" s="121">
        <v>29.0</v>
      </c>
      <c r="B360" s="122">
        <v>45861.0</v>
      </c>
      <c r="C360" s="123">
        <v>0.8958333333333334</v>
      </c>
      <c r="D360" s="124" t="s">
        <v>54</v>
      </c>
      <c r="E360" s="124" t="s">
        <v>57</v>
      </c>
      <c r="F360" s="124" t="s">
        <v>44</v>
      </c>
      <c r="G360" s="125"/>
      <c r="H360" s="126">
        <f t="shared" si="61"/>
        <v>44</v>
      </c>
      <c r="I360" s="127">
        <f t="shared" si="62"/>
        <v>42</v>
      </c>
      <c r="J360" s="127">
        <f t="shared" si="63"/>
        <v>23</v>
      </c>
      <c r="K360" s="126">
        <f t="shared" ref="K360:X360" si="77">SUBTOTAL(109,K351:K359)</f>
        <v>16</v>
      </c>
      <c r="L360" s="127">
        <f t="shared" si="77"/>
        <v>6</v>
      </c>
      <c r="M360" s="127">
        <f t="shared" si="77"/>
        <v>1</v>
      </c>
      <c r="N360" s="127">
        <f t="shared" si="77"/>
        <v>0</v>
      </c>
      <c r="O360" s="127">
        <f t="shared" si="77"/>
        <v>0</v>
      </c>
      <c r="P360" s="127">
        <f t="shared" si="77"/>
        <v>3</v>
      </c>
      <c r="Q360" s="127">
        <f t="shared" si="77"/>
        <v>1</v>
      </c>
      <c r="R360" s="127">
        <f t="shared" si="77"/>
        <v>1</v>
      </c>
      <c r="S360" s="127">
        <f t="shared" si="77"/>
        <v>0</v>
      </c>
      <c r="T360" s="127">
        <f t="shared" si="77"/>
        <v>0</v>
      </c>
      <c r="U360" s="127">
        <f t="shared" si="77"/>
        <v>2</v>
      </c>
      <c r="V360" s="127">
        <f t="shared" si="77"/>
        <v>14</v>
      </c>
      <c r="W360" s="127">
        <f t="shared" si="77"/>
        <v>15</v>
      </c>
      <c r="X360" s="128">
        <f t="shared" si="77"/>
        <v>15</v>
      </c>
    </row>
    <row r="361" ht="15.75" customHeight="1">
      <c r="A361" s="109">
        <v>30.0</v>
      </c>
      <c r="B361" s="110">
        <v>45865.0</v>
      </c>
      <c r="C361" s="111">
        <v>0.7083333333333334</v>
      </c>
      <c r="D361" s="112" t="s">
        <v>54</v>
      </c>
      <c r="E361" s="112" t="s">
        <v>60</v>
      </c>
      <c r="F361" s="112" t="s">
        <v>28</v>
      </c>
      <c r="G361" s="118">
        <v>1.0</v>
      </c>
      <c r="H361" s="115">
        <f t="shared" si="61"/>
        <v>5</v>
      </c>
      <c r="I361" s="116">
        <f t="shared" si="62"/>
        <v>4</v>
      </c>
      <c r="J361" s="116">
        <f t="shared" si="63"/>
        <v>2</v>
      </c>
      <c r="K361" s="117">
        <v>0.0</v>
      </c>
      <c r="L361" s="118">
        <v>1.0</v>
      </c>
      <c r="M361" s="118">
        <v>1.0</v>
      </c>
      <c r="N361" s="118">
        <v>0.0</v>
      </c>
      <c r="O361" s="118">
        <v>0.0</v>
      </c>
      <c r="P361" s="118">
        <v>0.0</v>
      </c>
      <c r="Q361" s="118">
        <v>1.0</v>
      </c>
      <c r="R361" s="118">
        <v>0.0</v>
      </c>
      <c r="S361" s="118">
        <v>0.0</v>
      </c>
      <c r="T361" s="118">
        <v>0.0</v>
      </c>
      <c r="U361" s="118">
        <v>0.0</v>
      </c>
      <c r="V361" s="118">
        <v>2.0</v>
      </c>
      <c r="W361" s="118">
        <v>3.0</v>
      </c>
      <c r="X361" s="119">
        <v>3.0</v>
      </c>
    </row>
    <row r="362" ht="15.75" customHeight="1">
      <c r="A362" s="109">
        <v>30.0</v>
      </c>
      <c r="B362" s="99">
        <v>45865.0</v>
      </c>
      <c r="C362" s="100">
        <v>0.7083333333333334</v>
      </c>
      <c r="D362" s="101" t="s">
        <v>54</v>
      </c>
      <c r="E362" s="101" t="s">
        <v>60</v>
      </c>
      <c r="F362" s="101" t="s">
        <v>32</v>
      </c>
      <c r="G362" s="107">
        <v>2.0</v>
      </c>
      <c r="H362" s="104">
        <f t="shared" si="61"/>
        <v>5</v>
      </c>
      <c r="I362" s="105">
        <f t="shared" si="62"/>
        <v>3</v>
      </c>
      <c r="J362" s="105">
        <f t="shared" si="63"/>
        <v>3</v>
      </c>
      <c r="K362" s="106">
        <v>2.0</v>
      </c>
      <c r="L362" s="107">
        <v>1.0</v>
      </c>
      <c r="M362" s="107">
        <v>0.0</v>
      </c>
      <c r="N362" s="107">
        <v>0.0</v>
      </c>
      <c r="O362" s="107">
        <v>0.0</v>
      </c>
      <c r="P362" s="107">
        <v>0.0</v>
      </c>
      <c r="Q362" s="107">
        <v>0.0</v>
      </c>
      <c r="R362" s="107">
        <v>2.0</v>
      </c>
      <c r="S362" s="107">
        <v>0.0</v>
      </c>
      <c r="T362" s="107">
        <v>0.0</v>
      </c>
      <c r="U362" s="107">
        <v>0.0</v>
      </c>
      <c r="V362" s="107">
        <v>0.0</v>
      </c>
      <c r="W362" s="107">
        <v>2.0</v>
      </c>
      <c r="X362" s="108">
        <v>4.0</v>
      </c>
    </row>
    <row r="363" ht="15.75" customHeight="1">
      <c r="A363" s="109">
        <v>30.0</v>
      </c>
      <c r="B363" s="110">
        <v>45865.0</v>
      </c>
      <c r="C363" s="111">
        <v>0.7083333333333334</v>
      </c>
      <c r="D363" s="112" t="s">
        <v>54</v>
      </c>
      <c r="E363" s="112" t="s">
        <v>60</v>
      </c>
      <c r="F363" s="112" t="s">
        <v>26</v>
      </c>
      <c r="G363" s="118">
        <v>3.0</v>
      </c>
      <c r="H363" s="104">
        <f t="shared" si="61"/>
        <v>5</v>
      </c>
      <c r="I363" s="105">
        <f t="shared" si="62"/>
        <v>5</v>
      </c>
      <c r="J363" s="105">
        <f t="shared" si="63"/>
        <v>5</v>
      </c>
      <c r="K363" s="117">
        <v>2.0</v>
      </c>
      <c r="L363" s="118">
        <v>2.0</v>
      </c>
      <c r="M363" s="118">
        <v>0.0</v>
      </c>
      <c r="N363" s="118">
        <v>1.0</v>
      </c>
      <c r="O363" s="118">
        <v>0.0</v>
      </c>
      <c r="P363" s="118">
        <v>0.0</v>
      </c>
      <c r="Q363" s="118">
        <v>0.0</v>
      </c>
      <c r="R363" s="118">
        <v>0.0</v>
      </c>
      <c r="S363" s="118">
        <v>0.0</v>
      </c>
      <c r="T363" s="118">
        <v>0.0</v>
      </c>
      <c r="U363" s="118">
        <v>0.0</v>
      </c>
      <c r="V363" s="118">
        <v>0.0</v>
      </c>
      <c r="W363" s="118">
        <v>4.0</v>
      </c>
      <c r="X363" s="119">
        <v>4.0</v>
      </c>
    </row>
    <row r="364" ht="15.75" customHeight="1">
      <c r="A364" s="109">
        <v>30.0</v>
      </c>
      <c r="B364" s="99">
        <v>45865.0</v>
      </c>
      <c r="C364" s="100">
        <v>0.7083333333333334</v>
      </c>
      <c r="D364" s="101" t="s">
        <v>54</v>
      </c>
      <c r="E364" s="101" t="s">
        <v>60</v>
      </c>
      <c r="F364" s="101" t="s">
        <v>30</v>
      </c>
      <c r="G364" s="107">
        <v>4.0</v>
      </c>
      <c r="H364" s="104">
        <f t="shared" si="61"/>
        <v>5</v>
      </c>
      <c r="I364" s="105">
        <f t="shared" si="62"/>
        <v>4</v>
      </c>
      <c r="J364" s="105">
        <f t="shared" si="63"/>
        <v>0</v>
      </c>
      <c r="K364" s="106">
        <v>0.0</v>
      </c>
      <c r="L364" s="107">
        <v>0.0</v>
      </c>
      <c r="M364" s="107">
        <v>0.0</v>
      </c>
      <c r="N364" s="107">
        <v>0.0</v>
      </c>
      <c r="O364" s="107">
        <v>0.0</v>
      </c>
      <c r="P364" s="107">
        <v>0.0</v>
      </c>
      <c r="Q364" s="107">
        <v>0.0</v>
      </c>
      <c r="R364" s="107">
        <v>1.0</v>
      </c>
      <c r="S364" s="107">
        <v>0.0</v>
      </c>
      <c r="T364" s="107">
        <v>0.0</v>
      </c>
      <c r="U364" s="107">
        <v>0.0</v>
      </c>
      <c r="V364" s="107">
        <v>4.0</v>
      </c>
      <c r="W364" s="107">
        <v>0.0</v>
      </c>
      <c r="X364" s="108">
        <v>1.0</v>
      </c>
    </row>
    <row r="365" ht="15.75" customHeight="1">
      <c r="A365" s="109">
        <v>30.0</v>
      </c>
      <c r="B365" s="110">
        <v>45865.0</v>
      </c>
      <c r="C365" s="111">
        <v>0.7083333333333334</v>
      </c>
      <c r="D365" s="112" t="s">
        <v>54</v>
      </c>
      <c r="E365" s="112" t="s">
        <v>60</v>
      </c>
      <c r="F365" s="101" t="s">
        <v>33</v>
      </c>
      <c r="G365" s="118">
        <v>5.0</v>
      </c>
      <c r="H365" s="104">
        <f t="shared" si="61"/>
        <v>5</v>
      </c>
      <c r="I365" s="105">
        <f t="shared" si="62"/>
        <v>5</v>
      </c>
      <c r="J365" s="105">
        <f t="shared" si="63"/>
        <v>3</v>
      </c>
      <c r="K365" s="106">
        <v>1.0</v>
      </c>
      <c r="L365" s="107">
        <v>2.0</v>
      </c>
      <c r="M365" s="107">
        <v>0.0</v>
      </c>
      <c r="N365" s="107">
        <v>0.0</v>
      </c>
      <c r="O365" s="107">
        <v>0.0</v>
      </c>
      <c r="P365" s="107">
        <v>0.0</v>
      </c>
      <c r="Q365" s="107">
        <v>0.0</v>
      </c>
      <c r="R365" s="107">
        <v>0.0</v>
      </c>
      <c r="S365" s="107">
        <v>0.0</v>
      </c>
      <c r="T365" s="107">
        <v>0.0</v>
      </c>
      <c r="U365" s="107">
        <v>0.0</v>
      </c>
      <c r="V365" s="107">
        <v>2.0</v>
      </c>
      <c r="W365" s="107">
        <v>1.0</v>
      </c>
      <c r="X365" s="108">
        <v>2.0</v>
      </c>
    </row>
    <row r="366" ht="15.75" customHeight="1">
      <c r="A366" s="109">
        <v>30.0</v>
      </c>
      <c r="B366" s="99">
        <v>45865.0</v>
      </c>
      <c r="C366" s="100">
        <v>0.7083333333333334</v>
      </c>
      <c r="D366" s="101" t="s">
        <v>54</v>
      </c>
      <c r="E366" s="112" t="s">
        <v>60</v>
      </c>
      <c r="F366" s="112" t="s">
        <v>29</v>
      </c>
      <c r="G366" s="107">
        <v>6.0</v>
      </c>
      <c r="H366" s="104">
        <f t="shared" si="61"/>
        <v>5</v>
      </c>
      <c r="I366" s="105">
        <f t="shared" si="62"/>
        <v>3</v>
      </c>
      <c r="J366" s="105">
        <f t="shared" si="63"/>
        <v>2</v>
      </c>
      <c r="K366" s="117">
        <v>2.0</v>
      </c>
      <c r="L366" s="118">
        <v>0.0</v>
      </c>
      <c r="M366" s="118">
        <v>0.0</v>
      </c>
      <c r="N366" s="118">
        <v>0.0</v>
      </c>
      <c r="O366" s="118">
        <v>0.0</v>
      </c>
      <c r="P366" s="118">
        <v>0.0</v>
      </c>
      <c r="Q366" s="118">
        <v>1.0</v>
      </c>
      <c r="R366" s="118">
        <v>1.0</v>
      </c>
      <c r="S366" s="118">
        <v>0.0</v>
      </c>
      <c r="T366" s="118">
        <v>0.0</v>
      </c>
      <c r="U366" s="118">
        <v>0.0</v>
      </c>
      <c r="V366" s="118">
        <v>1.0</v>
      </c>
      <c r="W366" s="118">
        <v>1.0</v>
      </c>
      <c r="X366" s="119">
        <v>2.0</v>
      </c>
    </row>
    <row r="367" ht="15.75" customHeight="1">
      <c r="A367" s="109">
        <v>30.0</v>
      </c>
      <c r="B367" s="110">
        <v>45865.0</v>
      </c>
      <c r="C367" s="111">
        <v>0.7083333333333334</v>
      </c>
      <c r="D367" s="112" t="s">
        <v>54</v>
      </c>
      <c r="E367" s="112" t="s">
        <v>60</v>
      </c>
      <c r="F367" s="112" t="s">
        <v>39</v>
      </c>
      <c r="G367" s="118">
        <v>7.0</v>
      </c>
      <c r="H367" s="104">
        <f t="shared" si="61"/>
        <v>5</v>
      </c>
      <c r="I367" s="105">
        <f t="shared" si="62"/>
        <v>3</v>
      </c>
      <c r="J367" s="105">
        <f t="shared" si="63"/>
        <v>0</v>
      </c>
      <c r="K367" s="117">
        <v>0.0</v>
      </c>
      <c r="L367" s="118">
        <v>0.0</v>
      </c>
      <c r="M367" s="118">
        <v>0.0</v>
      </c>
      <c r="N367" s="118">
        <v>0.0</v>
      </c>
      <c r="O367" s="118">
        <v>0.0</v>
      </c>
      <c r="P367" s="118">
        <v>0.0</v>
      </c>
      <c r="Q367" s="118">
        <v>2.0</v>
      </c>
      <c r="R367" s="118">
        <v>0.0</v>
      </c>
      <c r="S367" s="118">
        <v>0.0</v>
      </c>
      <c r="T367" s="118">
        <v>0.0</v>
      </c>
      <c r="U367" s="118">
        <v>0.0</v>
      </c>
      <c r="V367" s="118">
        <v>3.0</v>
      </c>
      <c r="W367" s="118">
        <v>1.0</v>
      </c>
      <c r="X367" s="119">
        <v>0.0</v>
      </c>
    </row>
    <row r="368" ht="15.75" customHeight="1">
      <c r="A368" s="109">
        <v>30.0</v>
      </c>
      <c r="B368" s="99">
        <v>45865.0</v>
      </c>
      <c r="C368" s="100">
        <v>0.7083333333333334</v>
      </c>
      <c r="D368" s="101" t="s">
        <v>54</v>
      </c>
      <c r="E368" s="112" t="s">
        <v>60</v>
      </c>
      <c r="F368" s="133" t="s">
        <v>40</v>
      </c>
      <c r="G368" s="107">
        <v>8.0</v>
      </c>
      <c r="H368" s="104">
        <f t="shared" si="61"/>
        <v>4</v>
      </c>
      <c r="I368" s="105">
        <f t="shared" si="62"/>
        <v>3</v>
      </c>
      <c r="J368" s="105">
        <f t="shared" si="63"/>
        <v>0</v>
      </c>
      <c r="K368" s="136">
        <v>0.0</v>
      </c>
      <c r="L368" s="137">
        <v>0.0</v>
      </c>
      <c r="M368" s="137">
        <v>0.0</v>
      </c>
      <c r="N368" s="137">
        <v>0.0</v>
      </c>
      <c r="O368" s="137">
        <v>0.0</v>
      </c>
      <c r="P368" s="137">
        <v>1.0</v>
      </c>
      <c r="Q368" s="137">
        <v>1.0</v>
      </c>
      <c r="R368" s="137">
        <v>0.0</v>
      </c>
      <c r="S368" s="137">
        <v>0.0</v>
      </c>
      <c r="T368" s="137">
        <v>0.0</v>
      </c>
      <c r="U368" s="137">
        <v>0.0</v>
      </c>
      <c r="V368" s="137">
        <v>2.0</v>
      </c>
      <c r="W368" s="137">
        <v>1.0</v>
      </c>
      <c r="X368" s="138">
        <v>0.0</v>
      </c>
    </row>
    <row r="369" ht="15.75" customHeight="1">
      <c r="A369" s="109">
        <v>30.0</v>
      </c>
      <c r="B369" s="110">
        <v>45865.0</v>
      </c>
      <c r="C369" s="111">
        <v>0.7083333333333334</v>
      </c>
      <c r="D369" s="112" t="s">
        <v>54</v>
      </c>
      <c r="E369" s="112" t="s">
        <v>60</v>
      </c>
      <c r="F369" s="101" t="s">
        <v>36</v>
      </c>
      <c r="G369" s="118">
        <v>9.0</v>
      </c>
      <c r="H369" s="104">
        <f t="shared" si="61"/>
        <v>4</v>
      </c>
      <c r="I369" s="105">
        <f t="shared" si="62"/>
        <v>4</v>
      </c>
      <c r="J369" s="105">
        <f t="shared" si="63"/>
        <v>3</v>
      </c>
      <c r="K369" s="106">
        <v>3.0</v>
      </c>
      <c r="L369" s="107">
        <v>0.0</v>
      </c>
      <c r="M369" s="107">
        <v>0.0</v>
      </c>
      <c r="N369" s="107">
        <v>0.0</v>
      </c>
      <c r="O369" s="107">
        <v>0.0</v>
      </c>
      <c r="P369" s="107">
        <v>1.0</v>
      </c>
      <c r="Q369" s="107">
        <v>0.0</v>
      </c>
      <c r="R369" s="107">
        <v>0.0</v>
      </c>
      <c r="S369" s="107">
        <v>0.0</v>
      </c>
      <c r="T369" s="107">
        <v>0.0</v>
      </c>
      <c r="U369" s="107">
        <v>0.0</v>
      </c>
      <c r="V369" s="107">
        <v>0.0</v>
      </c>
      <c r="W369" s="107">
        <v>4.0</v>
      </c>
      <c r="X369" s="108">
        <v>1.0</v>
      </c>
    </row>
    <row r="370" ht="15.75" customHeight="1">
      <c r="A370" s="139">
        <v>30.0</v>
      </c>
      <c r="B370" s="140">
        <v>45865.0</v>
      </c>
      <c r="C370" s="141">
        <v>0.7083333333333334</v>
      </c>
      <c r="D370" s="142" t="s">
        <v>54</v>
      </c>
      <c r="E370" s="142" t="s">
        <v>60</v>
      </c>
      <c r="F370" s="143" t="s">
        <v>38</v>
      </c>
      <c r="G370" s="107">
        <v>10.0</v>
      </c>
      <c r="H370" s="104">
        <f t="shared" si="61"/>
        <v>4</v>
      </c>
      <c r="I370" s="105">
        <f t="shared" si="62"/>
        <v>3</v>
      </c>
      <c r="J370" s="105">
        <f t="shared" si="63"/>
        <v>2</v>
      </c>
      <c r="K370" s="144">
        <v>1.0</v>
      </c>
      <c r="L370" s="145">
        <v>1.0</v>
      </c>
      <c r="M370" s="145">
        <v>0.0</v>
      </c>
      <c r="N370" s="145">
        <v>0.0</v>
      </c>
      <c r="O370" s="145">
        <v>0.0</v>
      </c>
      <c r="P370" s="145">
        <v>0.0</v>
      </c>
      <c r="Q370" s="145">
        <v>1.0</v>
      </c>
      <c r="R370" s="145">
        <v>0.0</v>
      </c>
      <c r="S370" s="145">
        <v>0.0</v>
      </c>
      <c r="T370" s="145">
        <v>0.0</v>
      </c>
      <c r="U370" s="145">
        <v>0.0</v>
      </c>
      <c r="V370" s="145">
        <v>1.0</v>
      </c>
      <c r="W370" s="145">
        <v>2.0</v>
      </c>
      <c r="X370" s="146">
        <v>1.0</v>
      </c>
    </row>
    <row r="371" ht="15.75" customHeight="1">
      <c r="A371" s="139">
        <v>30.0</v>
      </c>
      <c r="B371" s="140">
        <v>45865.0</v>
      </c>
      <c r="C371" s="141">
        <v>0.7083333333333334</v>
      </c>
      <c r="D371" s="142" t="s">
        <v>54</v>
      </c>
      <c r="E371" s="142" t="s">
        <v>60</v>
      </c>
      <c r="F371" s="147" t="s">
        <v>25</v>
      </c>
      <c r="G371" s="118">
        <v>11.0</v>
      </c>
      <c r="H371" s="104">
        <f t="shared" si="61"/>
        <v>4</v>
      </c>
      <c r="I371" s="105">
        <f t="shared" si="62"/>
        <v>2</v>
      </c>
      <c r="J371" s="105">
        <f t="shared" si="63"/>
        <v>2</v>
      </c>
      <c r="K371" s="144">
        <v>1.0</v>
      </c>
      <c r="L371" s="145">
        <v>0.0</v>
      </c>
      <c r="M371" s="145">
        <v>1.0</v>
      </c>
      <c r="N371" s="145">
        <v>0.0</v>
      </c>
      <c r="O371" s="145">
        <v>0.0</v>
      </c>
      <c r="P371" s="145">
        <v>0.0</v>
      </c>
      <c r="Q371" s="145">
        <v>2.0</v>
      </c>
      <c r="R371" s="145">
        <v>0.0</v>
      </c>
      <c r="S371" s="145">
        <v>0.0</v>
      </c>
      <c r="T371" s="145">
        <v>0.0</v>
      </c>
      <c r="U371" s="145">
        <v>0.0</v>
      </c>
      <c r="V371" s="145">
        <v>0.0</v>
      </c>
      <c r="W371" s="145">
        <v>2.0</v>
      </c>
      <c r="X371" s="146">
        <v>3.0</v>
      </c>
    </row>
    <row r="372" ht="15.75" customHeight="1">
      <c r="A372" s="121">
        <v>30.0</v>
      </c>
      <c r="B372" s="122">
        <v>45865.0</v>
      </c>
      <c r="C372" s="123">
        <v>0.7083333333333334</v>
      </c>
      <c r="D372" s="124" t="s">
        <v>54</v>
      </c>
      <c r="E372" s="124" t="s">
        <v>60</v>
      </c>
      <c r="F372" s="124" t="s">
        <v>44</v>
      </c>
      <c r="G372" s="125"/>
      <c r="H372" s="126">
        <f t="shared" si="61"/>
        <v>51</v>
      </c>
      <c r="I372" s="127">
        <f t="shared" si="62"/>
        <v>39</v>
      </c>
      <c r="J372" s="127">
        <f t="shared" si="63"/>
        <v>22</v>
      </c>
      <c r="K372" s="126">
        <f t="shared" ref="K372:X372" si="78">SUBTOTAL(109,K361:K371)</f>
        <v>12</v>
      </c>
      <c r="L372" s="127">
        <f t="shared" si="78"/>
        <v>7</v>
      </c>
      <c r="M372" s="127">
        <f t="shared" si="78"/>
        <v>2</v>
      </c>
      <c r="N372" s="127">
        <f t="shared" si="78"/>
        <v>1</v>
      </c>
      <c r="O372" s="127">
        <f t="shared" si="78"/>
        <v>0</v>
      </c>
      <c r="P372" s="127">
        <f t="shared" si="78"/>
        <v>2</v>
      </c>
      <c r="Q372" s="127">
        <f t="shared" si="78"/>
        <v>8</v>
      </c>
      <c r="R372" s="127">
        <f t="shared" si="78"/>
        <v>4</v>
      </c>
      <c r="S372" s="127">
        <f t="shared" si="78"/>
        <v>0</v>
      </c>
      <c r="T372" s="127">
        <f t="shared" si="78"/>
        <v>0</v>
      </c>
      <c r="U372" s="127">
        <f t="shared" si="78"/>
        <v>0</v>
      </c>
      <c r="V372" s="127">
        <f t="shared" si="78"/>
        <v>15</v>
      </c>
      <c r="W372" s="127">
        <f t="shared" si="78"/>
        <v>21</v>
      </c>
      <c r="X372" s="128">
        <f t="shared" si="78"/>
        <v>21</v>
      </c>
    </row>
    <row r="373" ht="15.75" customHeight="1">
      <c r="A373" s="109">
        <v>31.0</v>
      </c>
      <c r="B373" s="110">
        <v>45865.0</v>
      </c>
      <c r="C373" s="111">
        <v>0.7708333333333334</v>
      </c>
      <c r="D373" s="112" t="s">
        <v>54</v>
      </c>
      <c r="E373" s="112" t="s">
        <v>61</v>
      </c>
      <c r="F373" s="112" t="s">
        <v>26</v>
      </c>
      <c r="G373" s="118">
        <v>1.0</v>
      </c>
      <c r="H373" s="115">
        <f t="shared" si="61"/>
        <v>4</v>
      </c>
      <c r="I373" s="116">
        <f t="shared" si="62"/>
        <v>4</v>
      </c>
      <c r="J373" s="116">
        <f t="shared" si="63"/>
        <v>3</v>
      </c>
      <c r="K373" s="117">
        <v>2.0</v>
      </c>
      <c r="L373" s="118">
        <v>1.0</v>
      </c>
      <c r="M373" s="118">
        <v>0.0</v>
      </c>
      <c r="N373" s="118">
        <v>0.0</v>
      </c>
      <c r="O373" s="118">
        <v>0.0</v>
      </c>
      <c r="P373" s="118">
        <v>0.0</v>
      </c>
      <c r="Q373" s="118">
        <v>0.0</v>
      </c>
      <c r="R373" s="118">
        <v>0.0</v>
      </c>
      <c r="S373" s="118">
        <v>0.0</v>
      </c>
      <c r="T373" s="118">
        <v>0.0</v>
      </c>
      <c r="U373" s="118">
        <v>0.0</v>
      </c>
      <c r="V373" s="118">
        <v>1.0</v>
      </c>
      <c r="W373" s="118">
        <v>2.0</v>
      </c>
      <c r="X373" s="119">
        <v>1.0</v>
      </c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ht="15.75" customHeight="1">
      <c r="A374" s="109">
        <v>31.0</v>
      </c>
      <c r="B374" s="99">
        <v>45865.0</v>
      </c>
      <c r="C374" s="100">
        <v>0.7708333333333334</v>
      </c>
      <c r="D374" s="101" t="s">
        <v>54</v>
      </c>
      <c r="E374" s="101" t="s">
        <v>61</v>
      </c>
      <c r="F374" s="101" t="s">
        <v>25</v>
      </c>
      <c r="G374" s="107">
        <v>2.0</v>
      </c>
      <c r="H374" s="104">
        <f t="shared" si="61"/>
        <v>4</v>
      </c>
      <c r="I374" s="105">
        <f t="shared" si="62"/>
        <v>3</v>
      </c>
      <c r="J374" s="105">
        <f t="shared" si="63"/>
        <v>1</v>
      </c>
      <c r="K374" s="106">
        <v>1.0</v>
      </c>
      <c r="L374" s="107">
        <v>0.0</v>
      </c>
      <c r="M374" s="107">
        <v>0.0</v>
      </c>
      <c r="N374" s="107">
        <v>0.0</v>
      </c>
      <c r="O374" s="107">
        <v>0.0</v>
      </c>
      <c r="P374" s="107">
        <v>0.0</v>
      </c>
      <c r="Q374" s="107">
        <v>1.0</v>
      </c>
      <c r="R374" s="107">
        <v>0.0</v>
      </c>
      <c r="S374" s="107">
        <v>1.0</v>
      </c>
      <c r="T374" s="107">
        <v>0.0</v>
      </c>
      <c r="U374" s="107">
        <v>0.0</v>
      </c>
      <c r="V374" s="107">
        <v>1.0</v>
      </c>
      <c r="W374" s="107">
        <v>1.0</v>
      </c>
      <c r="X374" s="108">
        <v>1.0</v>
      </c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ht="15.75" customHeight="1">
      <c r="A375" s="109">
        <v>31.0</v>
      </c>
      <c r="B375" s="110">
        <v>45865.0</v>
      </c>
      <c r="C375" s="111">
        <v>0.7708333333333334</v>
      </c>
      <c r="D375" s="112" t="s">
        <v>54</v>
      </c>
      <c r="E375" s="112" t="s">
        <v>61</v>
      </c>
      <c r="F375" s="112" t="s">
        <v>32</v>
      </c>
      <c r="G375" s="118">
        <v>3.0</v>
      </c>
      <c r="H375" s="104">
        <f t="shared" si="61"/>
        <v>4</v>
      </c>
      <c r="I375" s="105">
        <f t="shared" si="62"/>
        <v>4</v>
      </c>
      <c r="J375" s="105">
        <f t="shared" si="63"/>
        <v>2</v>
      </c>
      <c r="K375" s="117">
        <v>1.0</v>
      </c>
      <c r="L375" s="118">
        <v>1.0</v>
      </c>
      <c r="M375" s="118">
        <v>0.0</v>
      </c>
      <c r="N375" s="118">
        <v>0.0</v>
      </c>
      <c r="O375" s="118">
        <v>0.0</v>
      </c>
      <c r="P375" s="118">
        <v>0.0</v>
      </c>
      <c r="Q375" s="118">
        <v>0.0</v>
      </c>
      <c r="R375" s="118">
        <v>0.0</v>
      </c>
      <c r="S375" s="118">
        <v>0.0</v>
      </c>
      <c r="T375" s="118">
        <v>0.0</v>
      </c>
      <c r="U375" s="118">
        <v>0.0</v>
      </c>
      <c r="V375" s="118">
        <v>2.0</v>
      </c>
      <c r="W375" s="118">
        <v>0.0</v>
      </c>
      <c r="X375" s="119">
        <v>1.0</v>
      </c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ht="15.75" customHeight="1">
      <c r="A376" s="109">
        <v>31.0</v>
      </c>
      <c r="B376" s="99">
        <v>45865.0</v>
      </c>
      <c r="C376" s="100">
        <v>0.7708333333333334</v>
      </c>
      <c r="D376" s="101" t="s">
        <v>54</v>
      </c>
      <c r="E376" s="101" t="s">
        <v>61</v>
      </c>
      <c r="F376" s="101" t="s">
        <v>30</v>
      </c>
      <c r="G376" s="107">
        <v>4.0</v>
      </c>
      <c r="H376" s="104">
        <f t="shared" si="61"/>
        <v>4</v>
      </c>
      <c r="I376" s="105">
        <f t="shared" si="62"/>
        <v>4</v>
      </c>
      <c r="J376" s="105">
        <f t="shared" si="63"/>
        <v>3</v>
      </c>
      <c r="K376" s="106">
        <v>2.0</v>
      </c>
      <c r="L376" s="107">
        <v>0.0</v>
      </c>
      <c r="M376" s="107">
        <v>0.0</v>
      </c>
      <c r="N376" s="107">
        <v>0.0</v>
      </c>
      <c r="O376" s="107">
        <v>1.0</v>
      </c>
      <c r="P376" s="107">
        <v>0.0</v>
      </c>
      <c r="Q376" s="107">
        <v>0.0</v>
      </c>
      <c r="R376" s="107">
        <v>0.0</v>
      </c>
      <c r="S376" s="107">
        <v>0.0</v>
      </c>
      <c r="T376" s="107">
        <v>0.0</v>
      </c>
      <c r="U376" s="107">
        <v>0.0</v>
      </c>
      <c r="V376" s="107">
        <v>1.0</v>
      </c>
      <c r="W376" s="107">
        <v>1.0</v>
      </c>
      <c r="X376" s="108">
        <v>2.0</v>
      </c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ht="15.75" customHeight="1">
      <c r="A377" s="109">
        <v>31.0</v>
      </c>
      <c r="B377" s="110">
        <v>45865.0</v>
      </c>
      <c r="C377" s="111">
        <v>0.7708333333333334</v>
      </c>
      <c r="D377" s="112" t="s">
        <v>54</v>
      </c>
      <c r="E377" s="112" t="s">
        <v>61</v>
      </c>
      <c r="F377" s="101" t="s">
        <v>33</v>
      </c>
      <c r="G377" s="118">
        <v>5.0</v>
      </c>
      <c r="H377" s="104">
        <f t="shared" si="61"/>
        <v>4</v>
      </c>
      <c r="I377" s="105">
        <f t="shared" si="62"/>
        <v>4</v>
      </c>
      <c r="J377" s="105">
        <f t="shared" si="63"/>
        <v>2</v>
      </c>
      <c r="K377" s="106">
        <v>2.0</v>
      </c>
      <c r="L377" s="107">
        <v>0.0</v>
      </c>
      <c r="M377" s="107">
        <v>0.0</v>
      </c>
      <c r="N377" s="107">
        <v>0.0</v>
      </c>
      <c r="O377" s="107">
        <v>0.0</v>
      </c>
      <c r="P377" s="107">
        <v>0.0</v>
      </c>
      <c r="Q377" s="107">
        <v>0.0</v>
      </c>
      <c r="R377" s="107">
        <v>0.0</v>
      </c>
      <c r="S377" s="107">
        <v>0.0</v>
      </c>
      <c r="T377" s="107">
        <v>0.0</v>
      </c>
      <c r="U377" s="107">
        <v>0.0</v>
      </c>
      <c r="V377" s="107">
        <v>2.0</v>
      </c>
      <c r="W377" s="107">
        <v>1.0</v>
      </c>
      <c r="X377" s="108">
        <v>1.0</v>
      </c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ht="15.75" customHeight="1">
      <c r="A378" s="109">
        <v>31.0</v>
      </c>
      <c r="B378" s="99">
        <v>45865.0</v>
      </c>
      <c r="C378" s="100">
        <v>0.7708333333333334</v>
      </c>
      <c r="D378" s="101" t="s">
        <v>54</v>
      </c>
      <c r="E378" s="112" t="s">
        <v>61</v>
      </c>
      <c r="F378" s="112" t="s">
        <v>29</v>
      </c>
      <c r="G378" s="107">
        <v>6.0</v>
      </c>
      <c r="H378" s="104">
        <f t="shared" si="61"/>
        <v>4</v>
      </c>
      <c r="I378" s="105">
        <f t="shared" si="62"/>
        <v>4</v>
      </c>
      <c r="J378" s="105">
        <f t="shared" si="63"/>
        <v>2</v>
      </c>
      <c r="K378" s="117">
        <v>2.0</v>
      </c>
      <c r="L378" s="118">
        <v>0.0</v>
      </c>
      <c r="M378" s="118">
        <v>0.0</v>
      </c>
      <c r="N378" s="118">
        <v>0.0</v>
      </c>
      <c r="O378" s="118">
        <v>0.0</v>
      </c>
      <c r="P378" s="118">
        <v>0.0</v>
      </c>
      <c r="Q378" s="118">
        <v>0.0</v>
      </c>
      <c r="R378" s="118">
        <v>0.0</v>
      </c>
      <c r="S378" s="118">
        <v>0.0</v>
      </c>
      <c r="T378" s="118">
        <v>0.0</v>
      </c>
      <c r="U378" s="118">
        <v>0.0</v>
      </c>
      <c r="V378" s="118">
        <v>2.0</v>
      </c>
      <c r="W378" s="118">
        <v>1.0</v>
      </c>
      <c r="X378" s="119">
        <v>0.0</v>
      </c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ht="15.75" customHeight="1">
      <c r="A379" s="109">
        <v>31.0</v>
      </c>
      <c r="B379" s="110">
        <v>45865.0</v>
      </c>
      <c r="C379" s="111">
        <v>0.7708333333333334</v>
      </c>
      <c r="D379" s="112" t="s">
        <v>54</v>
      </c>
      <c r="E379" s="112" t="s">
        <v>61</v>
      </c>
      <c r="F379" s="112" t="s">
        <v>39</v>
      </c>
      <c r="G379" s="118">
        <v>7.0</v>
      </c>
      <c r="H379" s="104">
        <f t="shared" si="61"/>
        <v>3</v>
      </c>
      <c r="I379" s="105">
        <f t="shared" si="62"/>
        <v>3</v>
      </c>
      <c r="J379" s="105">
        <f t="shared" si="63"/>
        <v>0</v>
      </c>
      <c r="K379" s="117">
        <v>0.0</v>
      </c>
      <c r="L379" s="118">
        <v>0.0</v>
      </c>
      <c r="M379" s="118">
        <v>0.0</v>
      </c>
      <c r="N379" s="118">
        <v>0.0</v>
      </c>
      <c r="O379" s="118">
        <v>0.0</v>
      </c>
      <c r="P379" s="118">
        <v>1.0</v>
      </c>
      <c r="Q379" s="118">
        <v>0.0</v>
      </c>
      <c r="R379" s="118">
        <v>0.0</v>
      </c>
      <c r="S379" s="118">
        <v>0.0</v>
      </c>
      <c r="T379" s="118">
        <v>0.0</v>
      </c>
      <c r="U379" s="118">
        <v>0.0</v>
      </c>
      <c r="V379" s="118">
        <v>2.0</v>
      </c>
      <c r="W379" s="118">
        <v>0.0</v>
      </c>
      <c r="X379" s="119">
        <v>0.0</v>
      </c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ht="15.75" customHeight="1">
      <c r="A380" s="109">
        <v>31.0</v>
      </c>
      <c r="B380" s="99">
        <v>45865.0</v>
      </c>
      <c r="C380" s="100">
        <v>0.7708333333333334</v>
      </c>
      <c r="D380" s="101" t="s">
        <v>54</v>
      </c>
      <c r="E380" s="112" t="s">
        <v>61</v>
      </c>
      <c r="F380" s="133" t="s">
        <v>40</v>
      </c>
      <c r="G380" s="107">
        <v>8.0</v>
      </c>
      <c r="H380" s="104">
        <f t="shared" si="61"/>
        <v>3</v>
      </c>
      <c r="I380" s="105">
        <f t="shared" si="62"/>
        <v>3</v>
      </c>
      <c r="J380" s="105">
        <f t="shared" si="63"/>
        <v>1</v>
      </c>
      <c r="K380" s="136">
        <v>1.0</v>
      </c>
      <c r="L380" s="137">
        <v>0.0</v>
      </c>
      <c r="M380" s="137">
        <v>0.0</v>
      </c>
      <c r="N380" s="137">
        <v>0.0</v>
      </c>
      <c r="O380" s="137">
        <v>0.0</v>
      </c>
      <c r="P380" s="137">
        <v>0.0</v>
      </c>
      <c r="Q380" s="137">
        <v>0.0</v>
      </c>
      <c r="R380" s="137">
        <v>0.0</v>
      </c>
      <c r="S380" s="137">
        <v>0.0</v>
      </c>
      <c r="T380" s="137">
        <v>0.0</v>
      </c>
      <c r="U380" s="137">
        <v>0.0</v>
      </c>
      <c r="V380" s="137">
        <v>2.0</v>
      </c>
      <c r="W380" s="137">
        <v>1.0</v>
      </c>
      <c r="X380" s="138">
        <v>1.0</v>
      </c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ht="15.75" customHeight="1">
      <c r="A381" s="109">
        <v>31.0</v>
      </c>
      <c r="B381" s="110">
        <v>45865.0</v>
      </c>
      <c r="C381" s="111">
        <v>0.7708333333333334</v>
      </c>
      <c r="D381" s="112" t="s">
        <v>54</v>
      </c>
      <c r="E381" s="112" t="s">
        <v>61</v>
      </c>
      <c r="F381" s="101" t="s">
        <v>36</v>
      </c>
      <c r="G381" s="118">
        <v>9.0</v>
      </c>
      <c r="H381" s="104">
        <f t="shared" si="61"/>
        <v>3</v>
      </c>
      <c r="I381" s="105">
        <f t="shared" si="62"/>
        <v>3</v>
      </c>
      <c r="J381" s="105">
        <f t="shared" si="63"/>
        <v>2</v>
      </c>
      <c r="K381" s="106">
        <v>2.0</v>
      </c>
      <c r="L381" s="107">
        <v>0.0</v>
      </c>
      <c r="M381" s="107">
        <v>0.0</v>
      </c>
      <c r="N381" s="107">
        <v>0.0</v>
      </c>
      <c r="O381" s="107">
        <v>0.0</v>
      </c>
      <c r="P381" s="107">
        <v>0.0</v>
      </c>
      <c r="Q381" s="107">
        <v>0.0</v>
      </c>
      <c r="R381" s="107">
        <v>0.0</v>
      </c>
      <c r="S381" s="107">
        <v>0.0</v>
      </c>
      <c r="T381" s="107">
        <v>0.0</v>
      </c>
      <c r="U381" s="107">
        <v>0.0</v>
      </c>
      <c r="V381" s="107">
        <v>1.0</v>
      </c>
      <c r="W381" s="107">
        <v>1.0</v>
      </c>
      <c r="X381" s="108">
        <v>1.0</v>
      </c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ht="15.75" customHeight="1">
      <c r="A382" s="148">
        <v>31.0</v>
      </c>
      <c r="B382" s="140">
        <v>45865.0</v>
      </c>
      <c r="C382" s="132">
        <v>0.7708333333333334</v>
      </c>
      <c r="D382" s="142" t="s">
        <v>54</v>
      </c>
      <c r="E382" s="133" t="s">
        <v>61</v>
      </c>
      <c r="F382" s="147" t="s">
        <v>38</v>
      </c>
      <c r="G382" s="107">
        <v>10.0</v>
      </c>
      <c r="H382" s="104">
        <f t="shared" si="61"/>
        <v>3</v>
      </c>
      <c r="I382" s="105">
        <f t="shared" si="62"/>
        <v>2</v>
      </c>
      <c r="J382" s="105">
        <f t="shared" si="63"/>
        <v>0</v>
      </c>
      <c r="K382" s="144">
        <v>0.0</v>
      </c>
      <c r="L382" s="145">
        <v>0.0</v>
      </c>
      <c r="M382" s="145">
        <v>0.0</v>
      </c>
      <c r="N382" s="145">
        <v>0.0</v>
      </c>
      <c r="O382" s="145">
        <v>0.0</v>
      </c>
      <c r="P382" s="145">
        <v>0.0</v>
      </c>
      <c r="Q382" s="145">
        <v>1.0</v>
      </c>
      <c r="R382" s="145">
        <v>0.0</v>
      </c>
      <c r="S382" s="145">
        <v>0.0</v>
      </c>
      <c r="T382" s="145">
        <v>0.0</v>
      </c>
      <c r="U382" s="145">
        <v>0.0</v>
      </c>
      <c r="V382" s="145">
        <v>2.0</v>
      </c>
      <c r="W382" s="145">
        <v>0.0</v>
      </c>
      <c r="X382" s="146">
        <v>0.0</v>
      </c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ht="15.75" customHeight="1">
      <c r="A383" s="121">
        <v>31.0</v>
      </c>
      <c r="B383" s="122">
        <v>45865.0</v>
      </c>
      <c r="C383" s="123">
        <v>0.7708333333333334</v>
      </c>
      <c r="D383" s="124" t="s">
        <v>54</v>
      </c>
      <c r="E383" s="124" t="s">
        <v>61</v>
      </c>
      <c r="F383" s="124" t="s">
        <v>44</v>
      </c>
      <c r="G383" s="125"/>
      <c r="H383" s="126">
        <f t="shared" si="61"/>
        <v>36</v>
      </c>
      <c r="I383" s="127">
        <f t="shared" si="62"/>
        <v>34</v>
      </c>
      <c r="J383" s="127">
        <f t="shared" si="63"/>
        <v>16</v>
      </c>
      <c r="K383" s="126">
        <f t="shared" ref="K383:X383" si="79">SUBTOTAL(109,K373:K382)</f>
        <v>13</v>
      </c>
      <c r="L383" s="127">
        <f t="shared" si="79"/>
        <v>2</v>
      </c>
      <c r="M383" s="127">
        <f t="shared" si="79"/>
        <v>0</v>
      </c>
      <c r="N383" s="127">
        <f t="shared" si="79"/>
        <v>0</v>
      </c>
      <c r="O383" s="127">
        <f t="shared" si="79"/>
        <v>1</v>
      </c>
      <c r="P383" s="127">
        <f t="shared" si="79"/>
        <v>1</v>
      </c>
      <c r="Q383" s="127">
        <f t="shared" si="79"/>
        <v>2</v>
      </c>
      <c r="R383" s="127">
        <f t="shared" si="79"/>
        <v>0</v>
      </c>
      <c r="S383" s="127">
        <f t="shared" si="79"/>
        <v>1</v>
      </c>
      <c r="T383" s="127">
        <f t="shared" si="79"/>
        <v>0</v>
      </c>
      <c r="U383" s="127">
        <f t="shared" si="79"/>
        <v>0</v>
      </c>
      <c r="V383" s="127">
        <f t="shared" si="79"/>
        <v>16</v>
      </c>
      <c r="W383" s="127">
        <f t="shared" si="79"/>
        <v>8</v>
      </c>
      <c r="X383" s="128">
        <f t="shared" si="79"/>
        <v>8</v>
      </c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ht="15.75" customHeight="1">
      <c r="A384" s="109">
        <v>32.0</v>
      </c>
      <c r="B384" s="110">
        <v>45867.0</v>
      </c>
      <c r="C384" s="111">
        <v>0.8333333333333334</v>
      </c>
      <c r="D384" s="112" t="s">
        <v>58</v>
      </c>
      <c r="E384" s="112" t="s">
        <v>62</v>
      </c>
      <c r="F384" s="112" t="s">
        <v>26</v>
      </c>
      <c r="G384" s="118">
        <v>1.0</v>
      </c>
      <c r="H384" s="115">
        <f t="shared" si="61"/>
        <v>6</v>
      </c>
      <c r="I384" s="116">
        <f t="shared" si="62"/>
        <v>5</v>
      </c>
      <c r="J384" s="116">
        <f t="shared" si="63"/>
        <v>4</v>
      </c>
      <c r="K384" s="117">
        <v>3.0</v>
      </c>
      <c r="L384" s="118">
        <v>0.0</v>
      </c>
      <c r="M384" s="118">
        <v>0.0</v>
      </c>
      <c r="N384" s="118">
        <v>1.0</v>
      </c>
      <c r="O384" s="118">
        <v>0.0</v>
      </c>
      <c r="P384" s="118">
        <v>1.0</v>
      </c>
      <c r="Q384" s="118">
        <v>1.0</v>
      </c>
      <c r="R384" s="118">
        <v>0.0</v>
      </c>
      <c r="S384" s="118">
        <v>0.0</v>
      </c>
      <c r="T384" s="118">
        <v>0.0</v>
      </c>
      <c r="U384" s="118">
        <v>0.0</v>
      </c>
      <c r="V384" s="118">
        <v>0.0</v>
      </c>
      <c r="W384" s="118">
        <v>6.0</v>
      </c>
      <c r="X384" s="119">
        <v>1.0</v>
      </c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ht="15.75" customHeight="1">
      <c r="A385" s="109">
        <v>32.0</v>
      </c>
      <c r="B385" s="99">
        <v>45867.0</v>
      </c>
      <c r="C385" s="100">
        <v>0.8333333333333334</v>
      </c>
      <c r="D385" s="101" t="s">
        <v>58</v>
      </c>
      <c r="E385" s="101" t="s">
        <v>62</v>
      </c>
      <c r="F385" s="101" t="s">
        <v>27</v>
      </c>
      <c r="G385" s="107">
        <v>2.0</v>
      </c>
      <c r="H385" s="104">
        <f t="shared" si="61"/>
        <v>6</v>
      </c>
      <c r="I385" s="105">
        <f t="shared" si="62"/>
        <v>4</v>
      </c>
      <c r="J385" s="105">
        <f t="shared" si="63"/>
        <v>3</v>
      </c>
      <c r="K385" s="106">
        <v>3.0</v>
      </c>
      <c r="L385" s="107">
        <v>0.0</v>
      </c>
      <c r="M385" s="107">
        <v>0.0</v>
      </c>
      <c r="N385" s="107">
        <v>0.0</v>
      </c>
      <c r="O385" s="107">
        <v>0.0</v>
      </c>
      <c r="P385" s="107">
        <v>0.0</v>
      </c>
      <c r="Q385" s="107">
        <v>2.0</v>
      </c>
      <c r="R385" s="107">
        <v>0.0</v>
      </c>
      <c r="S385" s="107">
        <v>0.0</v>
      </c>
      <c r="T385" s="107">
        <v>0.0</v>
      </c>
      <c r="U385" s="107">
        <v>0.0</v>
      </c>
      <c r="V385" s="107">
        <v>1.0</v>
      </c>
      <c r="W385" s="107">
        <v>4.0</v>
      </c>
      <c r="X385" s="108">
        <v>1.0</v>
      </c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ht="15.75" customHeight="1">
      <c r="A386" s="109">
        <v>32.0</v>
      </c>
      <c r="B386" s="110">
        <v>45867.0</v>
      </c>
      <c r="C386" s="111">
        <v>0.8333333333333334</v>
      </c>
      <c r="D386" s="112" t="s">
        <v>58</v>
      </c>
      <c r="E386" s="112" t="s">
        <v>62</v>
      </c>
      <c r="F386" s="112" t="s">
        <v>29</v>
      </c>
      <c r="G386" s="118">
        <v>3.0</v>
      </c>
      <c r="H386" s="104">
        <f t="shared" si="61"/>
        <v>6</v>
      </c>
      <c r="I386" s="105">
        <f t="shared" si="62"/>
        <v>4</v>
      </c>
      <c r="J386" s="105">
        <f t="shared" si="63"/>
        <v>4</v>
      </c>
      <c r="K386" s="117">
        <v>3.0</v>
      </c>
      <c r="L386" s="118">
        <v>1.0</v>
      </c>
      <c r="M386" s="118">
        <v>0.0</v>
      </c>
      <c r="N386" s="118">
        <v>0.0</v>
      </c>
      <c r="O386" s="118">
        <v>0.0</v>
      </c>
      <c r="P386" s="118">
        <v>0.0</v>
      </c>
      <c r="Q386" s="118">
        <v>2.0</v>
      </c>
      <c r="R386" s="118">
        <v>0.0</v>
      </c>
      <c r="S386" s="118">
        <v>0.0</v>
      </c>
      <c r="T386" s="118">
        <v>0.0</v>
      </c>
      <c r="U386" s="118">
        <v>0.0</v>
      </c>
      <c r="V386" s="118">
        <v>0.0</v>
      </c>
      <c r="W386" s="118">
        <v>4.0</v>
      </c>
      <c r="X386" s="119">
        <v>4.0</v>
      </c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ht="15.75" customHeight="1">
      <c r="A387" s="109">
        <v>32.0</v>
      </c>
      <c r="B387" s="110">
        <v>45867.0</v>
      </c>
      <c r="C387" s="111">
        <v>0.8333333333333334</v>
      </c>
      <c r="D387" s="112" t="s">
        <v>58</v>
      </c>
      <c r="E387" s="112" t="s">
        <v>62</v>
      </c>
      <c r="F387" s="101" t="s">
        <v>33</v>
      </c>
      <c r="G387" s="107">
        <v>4.0</v>
      </c>
      <c r="H387" s="104">
        <f t="shared" si="61"/>
        <v>6</v>
      </c>
      <c r="I387" s="105">
        <f t="shared" si="62"/>
        <v>4</v>
      </c>
      <c r="J387" s="105">
        <f t="shared" si="63"/>
        <v>2</v>
      </c>
      <c r="K387" s="106">
        <v>0.0</v>
      </c>
      <c r="L387" s="107">
        <v>2.0</v>
      </c>
      <c r="M387" s="107">
        <v>0.0</v>
      </c>
      <c r="N387" s="107">
        <v>0.0</v>
      </c>
      <c r="O387" s="107">
        <v>0.0</v>
      </c>
      <c r="P387" s="107">
        <v>0.0</v>
      </c>
      <c r="Q387" s="107">
        <v>0.0</v>
      </c>
      <c r="R387" s="107">
        <v>2.0</v>
      </c>
      <c r="S387" s="107">
        <v>0.0</v>
      </c>
      <c r="T387" s="107">
        <v>0.0</v>
      </c>
      <c r="U387" s="107">
        <v>0.0</v>
      </c>
      <c r="V387" s="107">
        <v>2.0</v>
      </c>
      <c r="W387" s="107">
        <v>2.0</v>
      </c>
      <c r="X387" s="108">
        <v>4.0</v>
      </c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ht="15.75" customHeight="1">
      <c r="A388" s="109">
        <v>32.0</v>
      </c>
      <c r="B388" s="99">
        <v>45867.0</v>
      </c>
      <c r="C388" s="100">
        <v>0.8333333333333334</v>
      </c>
      <c r="D388" s="101" t="s">
        <v>58</v>
      </c>
      <c r="E388" s="112" t="s">
        <v>62</v>
      </c>
      <c r="F388" s="112" t="s">
        <v>36</v>
      </c>
      <c r="G388" s="118">
        <v>5.0</v>
      </c>
      <c r="H388" s="104">
        <f t="shared" si="61"/>
        <v>6</v>
      </c>
      <c r="I388" s="105">
        <f t="shared" si="62"/>
        <v>6</v>
      </c>
      <c r="J388" s="105">
        <f t="shared" si="63"/>
        <v>4</v>
      </c>
      <c r="K388" s="117">
        <v>3.0</v>
      </c>
      <c r="L388" s="118">
        <v>1.0</v>
      </c>
      <c r="M388" s="118">
        <v>0.0</v>
      </c>
      <c r="N388" s="118">
        <v>0.0</v>
      </c>
      <c r="O388" s="118">
        <v>0.0</v>
      </c>
      <c r="P388" s="118">
        <v>0.0</v>
      </c>
      <c r="Q388" s="118">
        <v>0.0</v>
      </c>
      <c r="R388" s="118">
        <v>0.0</v>
      </c>
      <c r="S388" s="118">
        <v>0.0</v>
      </c>
      <c r="T388" s="118">
        <v>0.0</v>
      </c>
      <c r="U388" s="118">
        <v>0.0</v>
      </c>
      <c r="V388" s="118">
        <v>2.0</v>
      </c>
      <c r="W388" s="118">
        <v>1.0</v>
      </c>
      <c r="X388" s="119">
        <v>6.0</v>
      </c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ht="15.75" customHeight="1">
      <c r="A389" s="109">
        <v>32.0</v>
      </c>
      <c r="B389" s="110">
        <v>45867.0</v>
      </c>
      <c r="C389" s="111">
        <v>0.8333333333333334</v>
      </c>
      <c r="D389" s="112" t="s">
        <v>58</v>
      </c>
      <c r="E389" s="112" t="s">
        <v>62</v>
      </c>
      <c r="F389" s="112" t="s">
        <v>34</v>
      </c>
      <c r="G389" s="107">
        <v>6.0</v>
      </c>
      <c r="H389" s="104">
        <f t="shared" si="61"/>
        <v>5</v>
      </c>
      <c r="I389" s="105">
        <f t="shared" si="62"/>
        <v>5</v>
      </c>
      <c r="J389" s="105">
        <f t="shared" si="63"/>
        <v>4</v>
      </c>
      <c r="K389" s="117">
        <v>4.0</v>
      </c>
      <c r="L389" s="118">
        <v>0.0</v>
      </c>
      <c r="M389" s="118">
        <v>0.0</v>
      </c>
      <c r="N389" s="118">
        <v>0.0</v>
      </c>
      <c r="O389" s="118">
        <v>0.0</v>
      </c>
      <c r="P389" s="118">
        <v>0.0</v>
      </c>
      <c r="Q389" s="118">
        <v>0.0</v>
      </c>
      <c r="R389" s="118">
        <v>0.0</v>
      </c>
      <c r="S389" s="118">
        <v>0.0</v>
      </c>
      <c r="T389" s="118">
        <v>0.0</v>
      </c>
      <c r="U389" s="118">
        <v>0.0</v>
      </c>
      <c r="V389" s="118">
        <v>1.0</v>
      </c>
      <c r="W389" s="118">
        <v>0.0</v>
      </c>
      <c r="X389" s="119">
        <v>4.0</v>
      </c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ht="15.75" customHeight="1">
      <c r="A390" s="109">
        <v>32.0</v>
      </c>
      <c r="B390" s="99">
        <v>45867.0</v>
      </c>
      <c r="C390" s="100">
        <v>0.8333333333333334</v>
      </c>
      <c r="D390" s="101" t="s">
        <v>58</v>
      </c>
      <c r="E390" s="112" t="s">
        <v>62</v>
      </c>
      <c r="F390" s="133" t="s">
        <v>39</v>
      </c>
      <c r="G390" s="118">
        <v>7.0</v>
      </c>
      <c r="H390" s="104">
        <f t="shared" si="61"/>
        <v>5</v>
      </c>
      <c r="I390" s="105">
        <f t="shared" si="62"/>
        <v>3</v>
      </c>
      <c r="J390" s="105">
        <f t="shared" si="63"/>
        <v>0</v>
      </c>
      <c r="K390" s="136">
        <v>0.0</v>
      </c>
      <c r="L390" s="137">
        <v>0.0</v>
      </c>
      <c r="M390" s="137">
        <v>0.0</v>
      </c>
      <c r="N390" s="137">
        <v>0.0</v>
      </c>
      <c r="O390" s="137">
        <v>0.0</v>
      </c>
      <c r="P390" s="137">
        <v>0.0</v>
      </c>
      <c r="Q390" s="137">
        <v>2.0</v>
      </c>
      <c r="R390" s="137">
        <v>0.0</v>
      </c>
      <c r="S390" s="137">
        <v>0.0</v>
      </c>
      <c r="T390" s="137">
        <v>0.0</v>
      </c>
      <c r="U390" s="137">
        <v>0.0</v>
      </c>
      <c r="V390" s="137">
        <v>3.0</v>
      </c>
      <c r="W390" s="137">
        <v>0.0</v>
      </c>
      <c r="X390" s="138">
        <v>0.0</v>
      </c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ht="15.75" customHeight="1">
      <c r="A391" s="109">
        <v>32.0</v>
      </c>
      <c r="B391" s="110">
        <v>45867.0</v>
      </c>
      <c r="C391" s="111">
        <v>0.8333333333333334</v>
      </c>
      <c r="D391" s="112" t="s">
        <v>58</v>
      </c>
      <c r="E391" s="112" t="s">
        <v>62</v>
      </c>
      <c r="F391" s="101" t="s">
        <v>40</v>
      </c>
      <c r="G391" s="107">
        <v>8.0</v>
      </c>
      <c r="H391" s="104">
        <f t="shared" si="61"/>
        <v>5</v>
      </c>
      <c r="I391" s="105">
        <f t="shared" si="62"/>
        <v>4</v>
      </c>
      <c r="J391" s="105">
        <f t="shared" si="63"/>
        <v>0</v>
      </c>
      <c r="K391" s="106">
        <v>0.0</v>
      </c>
      <c r="L391" s="107">
        <v>0.0</v>
      </c>
      <c r="M391" s="107">
        <v>0.0</v>
      </c>
      <c r="N391" s="107">
        <v>0.0</v>
      </c>
      <c r="O391" s="107">
        <v>0.0</v>
      </c>
      <c r="P391" s="107">
        <v>0.0</v>
      </c>
      <c r="Q391" s="107">
        <v>1.0</v>
      </c>
      <c r="R391" s="107">
        <v>0.0</v>
      </c>
      <c r="S391" s="107">
        <v>0.0</v>
      </c>
      <c r="T391" s="107">
        <v>0.0</v>
      </c>
      <c r="U391" s="107">
        <v>2.0</v>
      </c>
      <c r="V391" s="107">
        <v>2.0</v>
      </c>
      <c r="W391" s="107">
        <v>1.0</v>
      </c>
      <c r="X391" s="108">
        <v>0.0</v>
      </c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ht="15.75" customHeight="1">
      <c r="A392" s="148">
        <v>32.0</v>
      </c>
      <c r="B392" s="131">
        <v>45867.0</v>
      </c>
      <c r="C392" s="132">
        <v>0.8333333333333334</v>
      </c>
      <c r="D392" s="133" t="s">
        <v>58</v>
      </c>
      <c r="E392" s="133" t="s">
        <v>62</v>
      </c>
      <c r="F392" s="147" t="s">
        <v>38</v>
      </c>
      <c r="G392" s="118">
        <v>9.0</v>
      </c>
      <c r="H392" s="104">
        <f t="shared" si="61"/>
        <v>5</v>
      </c>
      <c r="I392" s="105">
        <f t="shared" si="62"/>
        <v>5</v>
      </c>
      <c r="J392" s="105">
        <f t="shared" si="63"/>
        <v>3</v>
      </c>
      <c r="K392" s="144">
        <v>3.0</v>
      </c>
      <c r="L392" s="145">
        <v>0.0</v>
      </c>
      <c r="M392" s="145">
        <v>0.0</v>
      </c>
      <c r="N392" s="145">
        <v>0.0</v>
      </c>
      <c r="O392" s="145">
        <v>0.0</v>
      </c>
      <c r="P392" s="145">
        <v>0.0</v>
      </c>
      <c r="Q392" s="145">
        <v>0.0</v>
      </c>
      <c r="R392" s="145">
        <v>0.0</v>
      </c>
      <c r="S392" s="145">
        <v>0.0</v>
      </c>
      <c r="T392" s="145">
        <v>0.0</v>
      </c>
      <c r="U392" s="145">
        <v>1.0</v>
      </c>
      <c r="V392" s="145">
        <v>1.0</v>
      </c>
      <c r="W392" s="145">
        <v>2.0</v>
      </c>
      <c r="X392" s="146">
        <v>0.0</v>
      </c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ht="15.75" customHeight="1">
      <c r="A393" s="121">
        <v>32.0</v>
      </c>
      <c r="B393" s="122">
        <v>45867.0</v>
      </c>
      <c r="C393" s="123">
        <v>0.8333333333333334</v>
      </c>
      <c r="D393" s="124" t="s">
        <v>58</v>
      </c>
      <c r="E393" s="124" t="s">
        <v>62</v>
      </c>
      <c r="F393" s="124" t="s">
        <v>44</v>
      </c>
      <c r="G393" s="125"/>
      <c r="H393" s="126">
        <f t="shared" si="61"/>
        <v>50</v>
      </c>
      <c r="I393" s="127">
        <f t="shared" si="62"/>
        <v>40</v>
      </c>
      <c r="J393" s="127">
        <f t="shared" si="63"/>
        <v>24</v>
      </c>
      <c r="K393" s="126">
        <f t="shared" ref="K393:X393" si="80">SUBTOTAL(109,K384:K392)</f>
        <v>19</v>
      </c>
      <c r="L393" s="127">
        <f t="shared" si="80"/>
        <v>4</v>
      </c>
      <c r="M393" s="127">
        <f t="shared" si="80"/>
        <v>0</v>
      </c>
      <c r="N393" s="127">
        <f t="shared" si="80"/>
        <v>1</v>
      </c>
      <c r="O393" s="127">
        <f t="shared" si="80"/>
        <v>0</v>
      </c>
      <c r="P393" s="127">
        <f t="shared" si="80"/>
        <v>1</v>
      </c>
      <c r="Q393" s="127">
        <f t="shared" si="80"/>
        <v>8</v>
      </c>
      <c r="R393" s="127">
        <f t="shared" si="80"/>
        <v>2</v>
      </c>
      <c r="S393" s="127">
        <f t="shared" si="80"/>
        <v>0</v>
      </c>
      <c r="T393" s="127">
        <f t="shared" si="80"/>
        <v>0</v>
      </c>
      <c r="U393" s="127">
        <f t="shared" si="80"/>
        <v>3</v>
      </c>
      <c r="V393" s="127">
        <f t="shared" si="80"/>
        <v>12</v>
      </c>
      <c r="W393" s="127">
        <f t="shared" si="80"/>
        <v>20</v>
      </c>
      <c r="X393" s="128">
        <f t="shared" si="80"/>
        <v>20</v>
      </c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ht="15.75" customHeight="1">
      <c r="A394" s="109">
        <v>33.0</v>
      </c>
      <c r="B394" s="110">
        <v>45873.0</v>
      </c>
      <c r="C394" s="111">
        <v>0.8333333333333334</v>
      </c>
      <c r="D394" s="112" t="s">
        <v>54</v>
      </c>
      <c r="E394" s="112" t="s">
        <v>56</v>
      </c>
      <c r="F394" s="112" t="s">
        <v>28</v>
      </c>
      <c r="G394" s="118">
        <v>1.0</v>
      </c>
      <c r="H394" s="115">
        <f t="shared" si="61"/>
        <v>5</v>
      </c>
      <c r="I394" s="116">
        <f t="shared" si="62"/>
        <v>4</v>
      </c>
      <c r="J394" s="116">
        <f t="shared" si="63"/>
        <v>3</v>
      </c>
      <c r="K394" s="117">
        <v>2.0</v>
      </c>
      <c r="L394" s="118">
        <v>1.0</v>
      </c>
      <c r="M394" s="118">
        <v>0.0</v>
      </c>
      <c r="N394" s="118">
        <v>0.0</v>
      </c>
      <c r="O394" s="118">
        <v>0.0</v>
      </c>
      <c r="P394" s="118">
        <v>0.0</v>
      </c>
      <c r="Q394" s="118">
        <v>1.0</v>
      </c>
      <c r="R394" s="118">
        <v>0.0</v>
      </c>
      <c r="S394" s="118">
        <v>0.0</v>
      </c>
      <c r="T394" s="118">
        <v>0.0</v>
      </c>
      <c r="U394" s="118">
        <v>0.0</v>
      </c>
      <c r="V394" s="118">
        <v>1.0</v>
      </c>
      <c r="W394" s="118">
        <v>2.0</v>
      </c>
      <c r="X394" s="119">
        <v>1.0</v>
      </c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ht="15.75" customHeight="1">
      <c r="A395" s="109">
        <v>33.0</v>
      </c>
      <c r="B395" s="99">
        <v>45873.0</v>
      </c>
      <c r="C395" s="100">
        <v>0.8333333333333334</v>
      </c>
      <c r="D395" s="101" t="s">
        <v>54</v>
      </c>
      <c r="E395" s="101" t="s">
        <v>56</v>
      </c>
      <c r="F395" s="101" t="s">
        <v>26</v>
      </c>
      <c r="G395" s="107">
        <v>2.0</v>
      </c>
      <c r="H395" s="104">
        <f t="shared" si="61"/>
        <v>5</v>
      </c>
      <c r="I395" s="105">
        <f t="shared" si="62"/>
        <v>4</v>
      </c>
      <c r="J395" s="105">
        <f t="shared" si="63"/>
        <v>3</v>
      </c>
      <c r="K395" s="106">
        <v>1.0</v>
      </c>
      <c r="L395" s="107">
        <v>0.0</v>
      </c>
      <c r="M395" s="107">
        <v>0.0</v>
      </c>
      <c r="N395" s="107">
        <v>1.0</v>
      </c>
      <c r="O395" s="107">
        <v>1.0</v>
      </c>
      <c r="P395" s="107">
        <v>0.0</v>
      </c>
      <c r="Q395" s="107">
        <v>1.0</v>
      </c>
      <c r="R395" s="107">
        <v>0.0</v>
      </c>
      <c r="S395" s="107">
        <v>0.0</v>
      </c>
      <c r="T395" s="107">
        <v>0.0</v>
      </c>
      <c r="U395" s="107">
        <v>0.0</v>
      </c>
      <c r="V395" s="107">
        <v>1.0</v>
      </c>
      <c r="W395" s="107">
        <v>3.0</v>
      </c>
      <c r="X395" s="108">
        <v>5.0</v>
      </c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ht="15.75" customHeight="1">
      <c r="A396" s="109">
        <v>33.0</v>
      </c>
      <c r="B396" s="110">
        <v>45873.0</v>
      </c>
      <c r="C396" s="111">
        <v>0.8333333333333334</v>
      </c>
      <c r="D396" s="112" t="s">
        <v>54</v>
      </c>
      <c r="E396" s="112" t="s">
        <v>56</v>
      </c>
      <c r="F396" s="112" t="s">
        <v>25</v>
      </c>
      <c r="G396" s="118">
        <v>3.0</v>
      </c>
      <c r="H396" s="104">
        <f t="shared" si="61"/>
        <v>5</v>
      </c>
      <c r="I396" s="105">
        <f t="shared" si="62"/>
        <v>4</v>
      </c>
      <c r="J396" s="105">
        <f t="shared" si="63"/>
        <v>2</v>
      </c>
      <c r="K396" s="117">
        <v>2.0</v>
      </c>
      <c r="L396" s="118">
        <v>0.0</v>
      </c>
      <c r="M396" s="118">
        <v>0.0</v>
      </c>
      <c r="N396" s="118">
        <v>0.0</v>
      </c>
      <c r="O396" s="118">
        <v>0.0</v>
      </c>
      <c r="P396" s="118">
        <v>1.0</v>
      </c>
      <c r="Q396" s="118">
        <v>0.0</v>
      </c>
      <c r="R396" s="118">
        <v>1.0</v>
      </c>
      <c r="S396" s="118">
        <v>0.0</v>
      </c>
      <c r="T396" s="118">
        <v>0.0</v>
      </c>
      <c r="U396" s="118">
        <v>0.0</v>
      </c>
      <c r="V396" s="118">
        <v>1.0</v>
      </c>
      <c r="W396" s="118">
        <v>3.0</v>
      </c>
      <c r="X396" s="119">
        <v>1.0</v>
      </c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ht="15.75" customHeight="1">
      <c r="A397" s="109">
        <v>33.0</v>
      </c>
      <c r="B397" s="110">
        <v>45873.0</v>
      </c>
      <c r="C397" s="111">
        <v>0.8333333333333334</v>
      </c>
      <c r="D397" s="112" t="s">
        <v>54</v>
      </c>
      <c r="E397" s="112" t="s">
        <v>56</v>
      </c>
      <c r="F397" s="101" t="s">
        <v>30</v>
      </c>
      <c r="G397" s="107">
        <v>4.0</v>
      </c>
      <c r="H397" s="104">
        <f t="shared" si="61"/>
        <v>5</v>
      </c>
      <c r="I397" s="105">
        <f t="shared" si="62"/>
        <v>5</v>
      </c>
      <c r="J397" s="105">
        <f t="shared" si="63"/>
        <v>4</v>
      </c>
      <c r="K397" s="106">
        <v>0.0</v>
      </c>
      <c r="L397" s="107">
        <v>2.0</v>
      </c>
      <c r="M397" s="107">
        <v>1.0</v>
      </c>
      <c r="N397" s="107">
        <v>0.0</v>
      </c>
      <c r="O397" s="107">
        <v>1.0</v>
      </c>
      <c r="P397" s="107">
        <v>0.0</v>
      </c>
      <c r="Q397" s="107">
        <v>0.0</v>
      </c>
      <c r="R397" s="107">
        <v>0.0</v>
      </c>
      <c r="S397" s="107">
        <v>0.0</v>
      </c>
      <c r="T397" s="107">
        <v>0.0</v>
      </c>
      <c r="U397" s="107">
        <v>0.0</v>
      </c>
      <c r="V397" s="107">
        <v>1.0</v>
      </c>
      <c r="W397" s="107">
        <v>3.0</v>
      </c>
      <c r="X397" s="108">
        <v>6.0</v>
      </c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ht="15.75" customHeight="1">
      <c r="A398" s="109">
        <v>33.0</v>
      </c>
      <c r="B398" s="99">
        <v>45873.0</v>
      </c>
      <c r="C398" s="100">
        <v>0.8333333333333334</v>
      </c>
      <c r="D398" s="101" t="s">
        <v>54</v>
      </c>
      <c r="E398" s="112" t="s">
        <v>56</v>
      </c>
      <c r="F398" s="112" t="s">
        <v>33</v>
      </c>
      <c r="G398" s="118">
        <v>5.0</v>
      </c>
      <c r="H398" s="104">
        <f t="shared" si="61"/>
        <v>5</v>
      </c>
      <c r="I398" s="105">
        <f t="shared" si="62"/>
        <v>5</v>
      </c>
      <c r="J398" s="105">
        <f t="shared" si="63"/>
        <v>4</v>
      </c>
      <c r="K398" s="117">
        <v>1.0</v>
      </c>
      <c r="L398" s="118">
        <v>3.0</v>
      </c>
      <c r="M398" s="118">
        <v>0.0</v>
      </c>
      <c r="N398" s="118">
        <v>0.0</v>
      </c>
      <c r="O398" s="118">
        <v>0.0</v>
      </c>
      <c r="P398" s="118">
        <v>0.0</v>
      </c>
      <c r="Q398" s="118">
        <v>0.0</v>
      </c>
      <c r="R398" s="118">
        <v>0.0</v>
      </c>
      <c r="S398" s="118">
        <v>0.0</v>
      </c>
      <c r="T398" s="118">
        <v>0.0</v>
      </c>
      <c r="U398" s="118">
        <v>0.0</v>
      </c>
      <c r="V398" s="118">
        <v>1.0</v>
      </c>
      <c r="W398" s="118">
        <v>3.0</v>
      </c>
      <c r="X398" s="119">
        <v>2.0</v>
      </c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ht="15.75" customHeight="1">
      <c r="A399" s="109">
        <v>33.0</v>
      </c>
      <c r="B399" s="110">
        <v>45873.0</v>
      </c>
      <c r="C399" s="111">
        <v>0.8333333333333334</v>
      </c>
      <c r="D399" s="112" t="s">
        <v>54</v>
      </c>
      <c r="E399" s="112" t="s">
        <v>56</v>
      </c>
      <c r="F399" s="112" t="s">
        <v>37</v>
      </c>
      <c r="G399" s="107">
        <v>6.0</v>
      </c>
      <c r="H399" s="104">
        <f t="shared" si="61"/>
        <v>5</v>
      </c>
      <c r="I399" s="105">
        <f t="shared" si="62"/>
        <v>4</v>
      </c>
      <c r="J399" s="105">
        <f t="shared" si="63"/>
        <v>3</v>
      </c>
      <c r="K399" s="117">
        <v>2.0</v>
      </c>
      <c r="L399" s="118">
        <v>1.0</v>
      </c>
      <c r="M399" s="118">
        <v>0.0</v>
      </c>
      <c r="N399" s="118">
        <v>0.0</v>
      </c>
      <c r="O399" s="118">
        <v>0.0</v>
      </c>
      <c r="P399" s="118">
        <v>1.0</v>
      </c>
      <c r="Q399" s="118">
        <v>1.0</v>
      </c>
      <c r="R399" s="118">
        <v>0.0</v>
      </c>
      <c r="S399" s="118">
        <v>0.0</v>
      </c>
      <c r="T399" s="118">
        <v>0.0</v>
      </c>
      <c r="U399" s="118">
        <v>0.0</v>
      </c>
      <c r="V399" s="118">
        <v>0.0</v>
      </c>
      <c r="W399" s="118">
        <v>2.0</v>
      </c>
      <c r="X399" s="119">
        <v>1.0</v>
      </c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ht="15.75" customHeight="1">
      <c r="A400" s="109">
        <v>33.0</v>
      </c>
      <c r="B400" s="99">
        <v>45873.0</v>
      </c>
      <c r="C400" s="100">
        <v>0.8333333333333334</v>
      </c>
      <c r="D400" s="101" t="s">
        <v>54</v>
      </c>
      <c r="E400" s="112" t="s">
        <v>56</v>
      </c>
      <c r="F400" s="133" t="s">
        <v>27</v>
      </c>
      <c r="G400" s="118">
        <v>7.0</v>
      </c>
      <c r="H400" s="104">
        <f t="shared" si="61"/>
        <v>5</v>
      </c>
      <c r="I400" s="105">
        <f t="shared" si="62"/>
        <v>5</v>
      </c>
      <c r="J400" s="105">
        <f t="shared" si="63"/>
        <v>3</v>
      </c>
      <c r="K400" s="136">
        <v>0.0</v>
      </c>
      <c r="L400" s="137">
        <v>2.0</v>
      </c>
      <c r="M400" s="137">
        <v>0.0</v>
      </c>
      <c r="N400" s="137">
        <v>0.0</v>
      </c>
      <c r="O400" s="137">
        <v>1.0</v>
      </c>
      <c r="P400" s="137">
        <v>0.0</v>
      </c>
      <c r="Q400" s="137">
        <v>0.0</v>
      </c>
      <c r="R400" s="137">
        <v>0.0</v>
      </c>
      <c r="S400" s="137">
        <v>0.0</v>
      </c>
      <c r="T400" s="137">
        <v>0.0</v>
      </c>
      <c r="U400" s="137">
        <v>0.0</v>
      </c>
      <c r="V400" s="137">
        <v>2.0</v>
      </c>
      <c r="W400" s="137">
        <v>2.0</v>
      </c>
      <c r="X400" s="138">
        <v>3.0</v>
      </c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ht="15.75" customHeight="1">
      <c r="A401" s="109">
        <v>33.0</v>
      </c>
      <c r="B401" s="110">
        <v>45873.0</v>
      </c>
      <c r="C401" s="111">
        <v>0.8333333333333334</v>
      </c>
      <c r="D401" s="112" t="s">
        <v>54</v>
      </c>
      <c r="E401" s="112" t="s">
        <v>56</v>
      </c>
      <c r="F401" s="101" t="s">
        <v>29</v>
      </c>
      <c r="G401" s="107">
        <v>8.0</v>
      </c>
      <c r="H401" s="104">
        <f t="shared" si="61"/>
        <v>5</v>
      </c>
      <c r="I401" s="105">
        <f t="shared" si="62"/>
        <v>5</v>
      </c>
      <c r="J401" s="105">
        <f t="shared" si="63"/>
        <v>2</v>
      </c>
      <c r="K401" s="106">
        <v>1.0</v>
      </c>
      <c r="L401" s="107">
        <v>0.0</v>
      </c>
      <c r="M401" s="107">
        <v>1.0</v>
      </c>
      <c r="N401" s="107">
        <v>0.0</v>
      </c>
      <c r="O401" s="107">
        <v>0.0</v>
      </c>
      <c r="P401" s="107">
        <v>0.0</v>
      </c>
      <c r="Q401" s="107">
        <v>0.0</v>
      </c>
      <c r="R401" s="107">
        <v>0.0</v>
      </c>
      <c r="S401" s="107">
        <v>0.0</v>
      </c>
      <c r="T401" s="107">
        <v>1.0</v>
      </c>
      <c r="U401" s="107">
        <v>1.0</v>
      </c>
      <c r="V401" s="107">
        <v>1.0</v>
      </c>
      <c r="W401" s="107">
        <v>1.0</v>
      </c>
      <c r="X401" s="108">
        <v>3.0</v>
      </c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ht="15.75" customHeight="1">
      <c r="A402" s="148">
        <v>33.0</v>
      </c>
      <c r="B402" s="131">
        <v>45873.0</v>
      </c>
      <c r="C402" s="132">
        <v>0.8333333333333334</v>
      </c>
      <c r="D402" s="133" t="s">
        <v>54</v>
      </c>
      <c r="E402" s="133" t="s">
        <v>56</v>
      </c>
      <c r="F402" s="147" t="s">
        <v>34</v>
      </c>
      <c r="G402" s="118">
        <v>9.0</v>
      </c>
      <c r="H402" s="104">
        <f t="shared" si="61"/>
        <v>4</v>
      </c>
      <c r="I402" s="105">
        <f t="shared" si="62"/>
        <v>4</v>
      </c>
      <c r="J402" s="105">
        <f t="shared" si="63"/>
        <v>3</v>
      </c>
      <c r="K402" s="144">
        <v>1.0</v>
      </c>
      <c r="L402" s="145">
        <v>1.0</v>
      </c>
      <c r="M402" s="145">
        <v>1.0</v>
      </c>
      <c r="N402" s="145">
        <v>0.0</v>
      </c>
      <c r="O402" s="145">
        <v>0.0</v>
      </c>
      <c r="P402" s="145">
        <v>0.0</v>
      </c>
      <c r="Q402" s="145">
        <v>0.0</v>
      </c>
      <c r="R402" s="145">
        <v>0.0</v>
      </c>
      <c r="S402" s="145">
        <v>0.0</v>
      </c>
      <c r="T402" s="145">
        <v>0.0</v>
      </c>
      <c r="U402" s="145">
        <v>0.0</v>
      </c>
      <c r="V402" s="145">
        <v>1.0</v>
      </c>
      <c r="W402" s="145">
        <v>2.0</v>
      </c>
      <c r="X402" s="146">
        <v>1.0</v>
      </c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ht="15.75" customHeight="1">
      <c r="A403" s="109">
        <v>33.0</v>
      </c>
      <c r="B403" s="99">
        <v>45873.0</v>
      </c>
      <c r="C403" s="100">
        <v>0.8333333333333334</v>
      </c>
      <c r="D403" s="101" t="s">
        <v>54</v>
      </c>
      <c r="E403" s="112" t="s">
        <v>56</v>
      </c>
      <c r="F403" s="133" t="s">
        <v>31</v>
      </c>
      <c r="G403" s="118">
        <v>10.0</v>
      </c>
      <c r="H403" s="104">
        <f t="shared" si="61"/>
        <v>4</v>
      </c>
      <c r="I403" s="105">
        <f t="shared" si="62"/>
        <v>4</v>
      </c>
      <c r="J403" s="105">
        <f t="shared" si="63"/>
        <v>3</v>
      </c>
      <c r="K403" s="136">
        <v>3.0</v>
      </c>
      <c r="L403" s="137">
        <v>0.0</v>
      </c>
      <c r="M403" s="137">
        <v>0.0</v>
      </c>
      <c r="N403" s="137">
        <v>0.0</v>
      </c>
      <c r="O403" s="137">
        <v>0.0</v>
      </c>
      <c r="P403" s="137">
        <v>0.0</v>
      </c>
      <c r="Q403" s="137">
        <v>0.0</v>
      </c>
      <c r="R403" s="137">
        <v>0.0</v>
      </c>
      <c r="S403" s="137">
        <v>0.0</v>
      </c>
      <c r="T403" s="137">
        <v>0.0</v>
      </c>
      <c r="U403" s="137">
        <v>0.0</v>
      </c>
      <c r="V403" s="137">
        <v>1.0</v>
      </c>
      <c r="W403" s="137">
        <v>2.0</v>
      </c>
      <c r="X403" s="138">
        <v>0.0</v>
      </c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ht="15.75" customHeight="1">
      <c r="A404" s="109">
        <v>33.0</v>
      </c>
      <c r="B404" s="110">
        <v>45873.0</v>
      </c>
      <c r="C404" s="111">
        <v>0.8333333333333334</v>
      </c>
      <c r="D404" s="112" t="s">
        <v>54</v>
      </c>
      <c r="E404" s="112" t="s">
        <v>56</v>
      </c>
      <c r="F404" s="101" t="s">
        <v>36</v>
      </c>
      <c r="G404" s="107">
        <v>11.0</v>
      </c>
      <c r="H404" s="104">
        <f t="shared" si="61"/>
        <v>4</v>
      </c>
      <c r="I404" s="105">
        <f t="shared" si="62"/>
        <v>2</v>
      </c>
      <c r="J404" s="105">
        <f t="shared" si="63"/>
        <v>2</v>
      </c>
      <c r="K404" s="106">
        <v>1.0</v>
      </c>
      <c r="L404" s="107">
        <v>1.0</v>
      </c>
      <c r="M404" s="107">
        <v>0.0</v>
      </c>
      <c r="N404" s="107">
        <v>0.0</v>
      </c>
      <c r="O404" s="107">
        <v>0.0</v>
      </c>
      <c r="P404" s="107">
        <v>0.0</v>
      </c>
      <c r="Q404" s="107">
        <v>1.0</v>
      </c>
      <c r="R404" s="107">
        <v>1.0</v>
      </c>
      <c r="S404" s="107">
        <v>0.0</v>
      </c>
      <c r="T404" s="107">
        <v>0.0</v>
      </c>
      <c r="U404" s="107">
        <v>0.0</v>
      </c>
      <c r="V404" s="107">
        <v>0.0</v>
      </c>
      <c r="W404" s="107">
        <v>2.0</v>
      </c>
      <c r="X404" s="108">
        <v>3.0</v>
      </c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ht="15.75" customHeight="1">
      <c r="A405" s="148">
        <v>33.0</v>
      </c>
      <c r="B405" s="131">
        <v>45873.0</v>
      </c>
      <c r="C405" s="132">
        <v>0.8333333333333334</v>
      </c>
      <c r="D405" s="133" t="s">
        <v>54</v>
      </c>
      <c r="E405" s="133" t="s">
        <v>56</v>
      </c>
      <c r="F405" s="147" t="s">
        <v>38</v>
      </c>
      <c r="G405" s="118">
        <v>12.0</v>
      </c>
      <c r="H405" s="104">
        <f t="shared" si="61"/>
        <v>4</v>
      </c>
      <c r="I405" s="105">
        <f t="shared" si="62"/>
        <v>4</v>
      </c>
      <c r="J405" s="105">
        <f t="shared" si="63"/>
        <v>3</v>
      </c>
      <c r="K405" s="144">
        <v>2.0</v>
      </c>
      <c r="L405" s="145">
        <v>0.0</v>
      </c>
      <c r="M405" s="145">
        <v>1.0</v>
      </c>
      <c r="N405" s="145">
        <v>0.0</v>
      </c>
      <c r="O405" s="145">
        <v>0.0</v>
      </c>
      <c r="P405" s="145">
        <v>0.0</v>
      </c>
      <c r="Q405" s="145">
        <v>0.0</v>
      </c>
      <c r="R405" s="145">
        <v>0.0</v>
      </c>
      <c r="S405" s="145">
        <v>0.0</v>
      </c>
      <c r="T405" s="145">
        <v>0.0</v>
      </c>
      <c r="U405" s="145">
        <v>1.0</v>
      </c>
      <c r="V405" s="145">
        <v>0.0</v>
      </c>
      <c r="W405" s="145">
        <v>3.0</v>
      </c>
      <c r="X405" s="146">
        <v>2.0</v>
      </c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ht="15.75" customHeight="1">
      <c r="A406" s="121">
        <v>33.0</v>
      </c>
      <c r="B406" s="122">
        <v>45873.0</v>
      </c>
      <c r="C406" s="123">
        <v>0.8333333333333334</v>
      </c>
      <c r="D406" s="124" t="s">
        <v>54</v>
      </c>
      <c r="E406" s="124" t="s">
        <v>56</v>
      </c>
      <c r="F406" s="124" t="s">
        <v>44</v>
      </c>
      <c r="G406" s="125"/>
      <c r="H406" s="126">
        <f t="shared" si="61"/>
        <v>52</v>
      </c>
      <c r="I406" s="127">
        <f t="shared" si="62"/>
        <v>46</v>
      </c>
      <c r="J406" s="127">
        <f t="shared" si="63"/>
        <v>32</v>
      </c>
      <c r="K406" s="126">
        <f t="shared" ref="K406:X406" si="81">SUBTOTAL(109,K393:K404)</f>
        <v>14</v>
      </c>
      <c r="L406" s="127">
        <f t="shared" si="81"/>
        <v>11</v>
      </c>
      <c r="M406" s="127">
        <f t="shared" si="81"/>
        <v>3</v>
      </c>
      <c r="N406" s="127">
        <f t="shared" si="81"/>
        <v>1</v>
      </c>
      <c r="O406" s="127">
        <f t="shared" si="81"/>
        <v>3</v>
      </c>
      <c r="P406" s="127">
        <f t="shared" si="81"/>
        <v>2</v>
      </c>
      <c r="Q406" s="127">
        <f t="shared" si="81"/>
        <v>4</v>
      </c>
      <c r="R406" s="127">
        <f t="shared" si="81"/>
        <v>2</v>
      </c>
      <c r="S406" s="127">
        <f t="shared" si="81"/>
        <v>0</v>
      </c>
      <c r="T406" s="127">
        <f t="shared" si="81"/>
        <v>1</v>
      </c>
      <c r="U406" s="127">
        <f t="shared" si="81"/>
        <v>1</v>
      </c>
      <c r="V406" s="127">
        <f t="shared" si="81"/>
        <v>10</v>
      </c>
      <c r="W406" s="127">
        <f t="shared" si="81"/>
        <v>25</v>
      </c>
      <c r="X406" s="128">
        <f t="shared" si="81"/>
        <v>26</v>
      </c>
      <c r="Y406" s="92" t="s">
        <v>72</v>
      </c>
    </row>
    <row r="407" ht="15.75" customHeight="1">
      <c r="A407" s="109">
        <v>34.0</v>
      </c>
      <c r="B407" s="110">
        <v>45880.0</v>
      </c>
      <c r="C407" s="111">
        <v>0.8958333333333334</v>
      </c>
      <c r="D407" s="112" t="s">
        <v>54</v>
      </c>
      <c r="E407" s="112" t="s">
        <v>70</v>
      </c>
      <c r="F407" s="112" t="s">
        <v>28</v>
      </c>
      <c r="G407" s="118">
        <v>1.0</v>
      </c>
      <c r="H407" s="115">
        <f t="shared" si="61"/>
        <v>5</v>
      </c>
      <c r="I407" s="116">
        <f t="shared" si="62"/>
        <v>5</v>
      </c>
      <c r="J407" s="116">
        <f t="shared" si="63"/>
        <v>1</v>
      </c>
      <c r="K407" s="117">
        <v>0.0</v>
      </c>
      <c r="L407" s="118">
        <v>1.0</v>
      </c>
      <c r="M407" s="118">
        <v>0.0</v>
      </c>
      <c r="N407" s="118">
        <v>0.0</v>
      </c>
      <c r="O407" s="118">
        <v>0.0</v>
      </c>
      <c r="P407" s="118">
        <v>1.0</v>
      </c>
      <c r="Q407" s="118">
        <v>0.0</v>
      </c>
      <c r="R407" s="118">
        <v>0.0</v>
      </c>
      <c r="S407" s="118">
        <v>0.0</v>
      </c>
      <c r="T407" s="118">
        <v>0.0</v>
      </c>
      <c r="U407" s="118">
        <v>1.0</v>
      </c>
      <c r="V407" s="118">
        <v>2.0</v>
      </c>
      <c r="W407" s="118">
        <v>1.0</v>
      </c>
      <c r="X407" s="119">
        <v>0.0</v>
      </c>
      <c r="Y407" s="149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ht="15.75" customHeight="1">
      <c r="A408" s="109">
        <v>34.0</v>
      </c>
      <c r="B408" s="99">
        <v>45880.0</v>
      </c>
      <c r="C408" s="100">
        <v>0.8958333333333334</v>
      </c>
      <c r="D408" s="101" t="s">
        <v>54</v>
      </c>
      <c r="E408" s="101" t="s">
        <v>70</v>
      </c>
      <c r="F408" s="101" t="s">
        <v>26</v>
      </c>
      <c r="G408" s="107">
        <v>2.0</v>
      </c>
      <c r="H408" s="104">
        <f t="shared" si="61"/>
        <v>5</v>
      </c>
      <c r="I408" s="105">
        <f t="shared" si="62"/>
        <v>4</v>
      </c>
      <c r="J408" s="105">
        <f t="shared" si="63"/>
        <v>2</v>
      </c>
      <c r="K408" s="106">
        <v>0.0</v>
      </c>
      <c r="L408" s="107">
        <v>1.0</v>
      </c>
      <c r="M408" s="107">
        <v>1.0</v>
      </c>
      <c r="N408" s="107">
        <v>0.0</v>
      </c>
      <c r="O408" s="107">
        <v>0.0</v>
      </c>
      <c r="P408" s="107">
        <v>0.0</v>
      </c>
      <c r="Q408" s="107">
        <v>1.0</v>
      </c>
      <c r="R408" s="107">
        <v>0.0</v>
      </c>
      <c r="S408" s="107">
        <v>0.0</v>
      </c>
      <c r="T408" s="107">
        <v>0.0</v>
      </c>
      <c r="U408" s="107">
        <v>1.0</v>
      </c>
      <c r="V408" s="107">
        <v>1.0</v>
      </c>
      <c r="W408" s="107">
        <v>3.0</v>
      </c>
      <c r="X408" s="108">
        <v>0.0</v>
      </c>
      <c r="Y408" s="149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ht="15.75" customHeight="1">
      <c r="A409" s="109">
        <v>34.0</v>
      </c>
      <c r="B409" s="110">
        <v>45880.0</v>
      </c>
      <c r="C409" s="111">
        <v>0.8958333333333334</v>
      </c>
      <c r="D409" s="112" t="s">
        <v>54</v>
      </c>
      <c r="E409" s="112" t="s">
        <v>70</v>
      </c>
      <c r="F409" s="112" t="s">
        <v>32</v>
      </c>
      <c r="G409" s="118">
        <v>3.0</v>
      </c>
      <c r="H409" s="104">
        <f t="shared" si="61"/>
        <v>5</v>
      </c>
      <c r="I409" s="105">
        <f t="shared" si="62"/>
        <v>5</v>
      </c>
      <c r="J409" s="105">
        <f t="shared" si="63"/>
        <v>4</v>
      </c>
      <c r="K409" s="117">
        <v>3.0</v>
      </c>
      <c r="L409" s="118">
        <v>1.0</v>
      </c>
      <c r="M409" s="118">
        <v>0.0</v>
      </c>
      <c r="N409" s="118">
        <v>0.0</v>
      </c>
      <c r="O409" s="118">
        <v>0.0</v>
      </c>
      <c r="P409" s="118">
        <v>0.0</v>
      </c>
      <c r="Q409" s="118">
        <v>0.0</v>
      </c>
      <c r="R409" s="118">
        <v>0.0</v>
      </c>
      <c r="S409" s="118">
        <v>0.0</v>
      </c>
      <c r="T409" s="118">
        <v>0.0</v>
      </c>
      <c r="U409" s="118">
        <v>0.0</v>
      </c>
      <c r="V409" s="118">
        <v>1.0</v>
      </c>
      <c r="W409" s="118">
        <v>3.0</v>
      </c>
      <c r="X409" s="119">
        <v>3.0</v>
      </c>
      <c r="Y409" s="149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ht="15.75" customHeight="1">
      <c r="A410" s="109">
        <v>34.0</v>
      </c>
      <c r="B410" s="110">
        <v>45880.0</v>
      </c>
      <c r="C410" s="111">
        <v>0.8958333333333334</v>
      </c>
      <c r="D410" s="112" t="s">
        <v>54</v>
      </c>
      <c r="E410" s="112" t="s">
        <v>70</v>
      </c>
      <c r="F410" s="101" t="s">
        <v>30</v>
      </c>
      <c r="G410" s="107">
        <v>4.0</v>
      </c>
      <c r="H410" s="104">
        <f t="shared" si="61"/>
        <v>5</v>
      </c>
      <c r="I410" s="105">
        <f t="shared" si="62"/>
        <v>5</v>
      </c>
      <c r="J410" s="105">
        <f t="shared" si="63"/>
        <v>3</v>
      </c>
      <c r="K410" s="106">
        <v>2.0</v>
      </c>
      <c r="L410" s="107">
        <v>0.0</v>
      </c>
      <c r="M410" s="107">
        <v>0.0</v>
      </c>
      <c r="N410" s="107">
        <v>0.0</v>
      </c>
      <c r="O410" s="107">
        <v>1.0</v>
      </c>
      <c r="P410" s="107">
        <v>0.0</v>
      </c>
      <c r="Q410" s="107">
        <v>0.0</v>
      </c>
      <c r="R410" s="107">
        <v>0.0</v>
      </c>
      <c r="S410" s="107">
        <v>0.0</v>
      </c>
      <c r="T410" s="107">
        <v>0.0</v>
      </c>
      <c r="U410" s="107">
        <v>0.0</v>
      </c>
      <c r="V410" s="107">
        <v>2.0</v>
      </c>
      <c r="W410" s="107">
        <v>3.0</v>
      </c>
      <c r="X410" s="108">
        <v>3.0</v>
      </c>
      <c r="Y410" s="149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ht="15.75" customHeight="1">
      <c r="A411" s="109">
        <v>34.0</v>
      </c>
      <c r="B411" s="99">
        <v>45880.0</v>
      </c>
      <c r="C411" s="100">
        <v>0.8958333333333334</v>
      </c>
      <c r="D411" s="101" t="s">
        <v>54</v>
      </c>
      <c r="E411" s="112" t="s">
        <v>70</v>
      </c>
      <c r="F411" s="112" t="s">
        <v>27</v>
      </c>
      <c r="G411" s="118">
        <v>5.0</v>
      </c>
      <c r="H411" s="104">
        <f t="shared" si="61"/>
        <v>5</v>
      </c>
      <c r="I411" s="105">
        <f t="shared" si="62"/>
        <v>5</v>
      </c>
      <c r="J411" s="105">
        <f t="shared" si="63"/>
        <v>5</v>
      </c>
      <c r="K411" s="117">
        <v>4.0</v>
      </c>
      <c r="L411" s="118">
        <v>1.0</v>
      </c>
      <c r="M411" s="118">
        <v>0.0</v>
      </c>
      <c r="N411" s="118">
        <v>0.0</v>
      </c>
      <c r="O411" s="118">
        <v>0.0</v>
      </c>
      <c r="P411" s="118">
        <v>0.0</v>
      </c>
      <c r="Q411" s="118">
        <v>0.0</v>
      </c>
      <c r="R411" s="118">
        <v>0.0</v>
      </c>
      <c r="S411" s="118">
        <v>0.0</v>
      </c>
      <c r="T411" s="118">
        <v>0.0</v>
      </c>
      <c r="U411" s="118">
        <v>0.0</v>
      </c>
      <c r="V411" s="118">
        <v>0.0</v>
      </c>
      <c r="W411" s="118">
        <v>2.0</v>
      </c>
      <c r="X411" s="119">
        <v>2.0</v>
      </c>
      <c r="Y411" s="149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ht="15.75" customHeight="1">
      <c r="A412" s="109">
        <v>34.0</v>
      </c>
      <c r="B412" s="110">
        <v>45880.0</v>
      </c>
      <c r="C412" s="111">
        <v>0.8958333333333334</v>
      </c>
      <c r="D412" s="112" t="s">
        <v>54</v>
      </c>
      <c r="E412" s="112" t="s">
        <v>70</v>
      </c>
      <c r="F412" s="112" t="s">
        <v>37</v>
      </c>
      <c r="G412" s="107">
        <v>6.0</v>
      </c>
      <c r="H412" s="104">
        <f t="shared" si="61"/>
        <v>5</v>
      </c>
      <c r="I412" s="105">
        <f t="shared" si="62"/>
        <v>5</v>
      </c>
      <c r="J412" s="105">
        <f t="shared" si="63"/>
        <v>1</v>
      </c>
      <c r="K412" s="117">
        <v>1.0</v>
      </c>
      <c r="L412" s="118">
        <v>0.0</v>
      </c>
      <c r="M412" s="118">
        <v>0.0</v>
      </c>
      <c r="N412" s="118">
        <v>0.0</v>
      </c>
      <c r="O412" s="118">
        <v>0.0</v>
      </c>
      <c r="P412" s="118">
        <v>0.0</v>
      </c>
      <c r="Q412" s="118">
        <v>0.0</v>
      </c>
      <c r="R412" s="118">
        <v>0.0</v>
      </c>
      <c r="S412" s="118">
        <v>1.0</v>
      </c>
      <c r="T412" s="118">
        <v>0.0</v>
      </c>
      <c r="U412" s="118">
        <v>1.0</v>
      </c>
      <c r="V412" s="118">
        <v>2.0</v>
      </c>
      <c r="W412" s="118">
        <v>0.0</v>
      </c>
      <c r="X412" s="119">
        <v>0.0</v>
      </c>
      <c r="Y412" s="149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ht="15.75" customHeight="1">
      <c r="A413" s="109">
        <v>34.0</v>
      </c>
      <c r="B413" s="99">
        <v>45880.0</v>
      </c>
      <c r="C413" s="100">
        <v>0.8958333333333334</v>
      </c>
      <c r="D413" s="101" t="s">
        <v>54</v>
      </c>
      <c r="E413" s="112" t="s">
        <v>70</v>
      </c>
      <c r="F413" s="133" t="s">
        <v>33</v>
      </c>
      <c r="G413" s="118">
        <v>7.0</v>
      </c>
      <c r="H413" s="104">
        <f t="shared" si="61"/>
        <v>5</v>
      </c>
      <c r="I413" s="105">
        <f t="shared" si="62"/>
        <v>4</v>
      </c>
      <c r="J413" s="105">
        <f t="shared" si="63"/>
        <v>1</v>
      </c>
      <c r="K413" s="136">
        <v>0.0</v>
      </c>
      <c r="L413" s="137">
        <v>1.0</v>
      </c>
      <c r="M413" s="137">
        <v>0.0</v>
      </c>
      <c r="N413" s="137">
        <v>0.0</v>
      </c>
      <c r="O413" s="137">
        <v>0.0</v>
      </c>
      <c r="P413" s="137">
        <v>0.0</v>
      </c>
      <c r="Q413" s="137">
        <v>0.0</v>
      </c>
      <c r="R413" s="137">
        <v>1.0</v>
      </c>
      <c r="S413" s="137">
        <v>0.0</v>
      </c>
      <c r="T413" s="137">
        <v>0.0</v>
      </c>
      <c r="U413" s="137">
        <v>0.0</v>
      </c>
      <c r="V413" s="137">
        <v>3.0</v>
      </c>
      <c r="W413" s="137">
        <v>1.0</v>
      </c>
      <c r="X413" s="138">
        <v>2.0</v>
      </c>
      <c r="Y413" s="149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ht="15.75" customHeight="1">
      <c r="A414" s="109">
        <v>34.0</v>
      </c>
      <c r="B414" s="110">
        <v>45880.0</v>
      </c>
      <c r="C414" s="111">
        <v>0.8958333333333334</v>
      </c>
      <c r="D414" s="112" t="s">
        <v>54</v>
      </c>
      <c r="E414" s="112" t="s">
        <v>70</v>
      </c>
      <c r="F414" s="101" t="s">
        <v>34</v>
      </c>
      <c r="G414" s="107">
        <v>8.0</v>
      </c>
      <c r="H414" s="104">
        <f t="shared" si="61"/>
        <v>5</v>
      </c>
      <c r="I414" s="105">
        <f t="shared" si="62"/>
        <v>5</v>
      </c>
      <c r="J414" s="105">
        <f t="shared" si="63"/>
        <v>3</v>
      </c>
      <c r="K414" s="106">
        <v>2.0</v>
      </c>
      <c r="L414" s="107">
        <v>1.0</v>
      </c>
      <c r="M414" s="107">
        <v>0.0</v>
      </c>
      <c r="N414" s="107">
        <v>0.0</v>
      </c>
      <c r="O414" s="107">
        <v>0.0</v>
      </c>
      <c r="P414" s="107">
        <v>0.0</v>
      </c>
      <c r="Q414" s="107">
        <v>0.0</v>
      </c>
      <c r="R414" s="107">
        <v>0.0</v>
      </c>
      <c r="S414" s="107">
        <v>0.0</v>
      </c>
      <c r="T414" s="107">
        <v>0.0</v>
      </c>
      <c r="U414" s="107">
        <v>1.0</v>
      </c>
      <c r="V414" s="107">
        <v>1.0</v>
      </c>
      <c r="W414" s="107">
        <v>0.0</v>
      </c>
      <c r="X414" s="108">
        <v>3.0</v>
      </c>
      <c r="Y414" s="149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ht="15.75" customHeight="1">
      <c r="A415" s="148">
        <v>34.0</v>
      </c>
      <c r="B415" s="131">
        <v>45880.0</v>
      </c>
      <c r="C415" s="132">
        <v>0.8958333333333334</v>
      </c>
      <c r="D415" s="133" t="s">
        <v>54</v>
      </c>
      <c r="E415" s="133" t="s">
        <v>70</v>
      </c>
      <c r="F415" s="147" t="s">
        <v>38</v>
      </c>
      <c r="G415" s="118">
        <v>9.0</v>
      </c>
      <c r="H415" s="104">
        <f t="shared" si="61"/>
        <v>5</v>
      </c>
      <c r="I415" s="105">
        <f t="shared" si="62"/>
        <v>5</v>
      </c>
      <c r="J415" s="105">
        <f t="shared" si="63"/>
        <v>3</v>
      </c>
      <c r="K415" s="144">
        <v>3.0</v>
      </c>
      <c r="L415" s="145">
        <v>0.0</v>
      </c>
      <c r="M415" s="145">
        <v>0.0</v>
      </c>
      <c r="N415" s="145">
        <v>0.0</v>
      </c>
      <c r="O415" s="145">
        <v>0.0</v>
      </c>
      <c r="P415" s="145">
        <v>0.0</v>
      </c>
      <c r="Q415" s="145">
        <v>0.0</v>
      </c>
      <c r="R415" s="145">
        <v>0.0</v>
      </c>
      <c r="S415" s="145">
        <v>0.0</v>
      </c>
      <c r="T415" s="145">
        <v>0.0</v>
      </c>
      <c r="U415" s="145">
        <v>2.0</v>
      </c>
      <c r="V415" s="145">
        <v>0.0</v>
      </c>
      <c r="W415" s="145">
        <v>0.0</v>
      </c>
      <c r="X415" s="146">
        <v>0.0</v>
      </c>
      <c r="Y415" s="149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ht="15.75" customHeight="1">
      <c r="A416" s="121">
        <v>34.0</v>
      </c>
      <c r="B416" s="122">
        <v>45880.0</v>
      </c>
      <c r="C416" s="123">
        <v>0.8958333333333334</v>
      </c>
      <c r="D416" s="124" t="s">
        <v>54</v>
      </c>
      <c r="E416" s="124" t="s">
        <v>70</v>
      </c>
      <c r="F416" s="124" t="s">
        <v>44</v>
      </c>
      <c r="G416" s="125"/>
      <c r="H416" s="126">
        <f t="shared" si="61"/>
        <v>45</v>
      </c>
      <c r="I416" s="127">
        <f t="shared" si="62"/>
        <v>43</v>
      </c>
      <c r="J416" s="127">
        <f t="shared" si="63"/>
        <v>23</v>
      </c>
      <c r="K416" s="126">
        <f t="shared" ref="K416:X416" si="82">SUBTOTAL(109,K407:K415)</f>
        <v>15</v>
      </c>
      <c r="L416" s="127">
        <f t="shared" si="82"/>
        <v>6</v>
      </c>
      <c r="M416" s="127">
        <f t="shared" si="82"/>
        <v>1</v>
      </c>
      <c r="N416" s="127">
        <f t="shared" si="82"/>
        <v>0</v>
      </c>
      <c r="O416" s="127">
        <f t="shared" si="82"/>
        <v>1</v>
      </c>
      <c r="P416" s="127">
        <f t="shared" si="82"/>
        <v>1</v>
      </c>
      <c r="Q416" s="127">
        <f t="shared" si="82"/>
        <v>1</v>
      </c>
      <c r="R416" s="127">
        <f t="shared" si="82"/>
        <v>1</v>
      </c>
      <c r="S416" s="127">
        <f t="shared" si="82"/>
        <v>1</v>
      </c>
      <c r="T416" s="127">
        <f t="shared" si="82"/>
        <v>0</v>
      </c>
      <c r="U416" s="127">
        <f t="shared" si="82"/>
        <v>6</v>
      </c>
      <c r="V416" s="127">
        <f t="shared" si="82"/>
        <v>12</v>
      </c>
      <c r="W416" s="127">
        <f t="shared" si="82"/>
        <v>13</v>
      </c>
      <c r="X416" s="128">
        <f t="shared" si="82"/>
        <v>13</v>
      </c>
      <c r="Y416" s="149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ht="15.75" customHeight="1">
      <c r="A417" s="109">
        <v>35.0</v>
      </c>
      <c r="B417" s="110">
        <v>45894.0</v>
      </c>
      <c r="C417" s="111">
        <v>0.8958333333333334</v>
      </c>
      <c r="D417" s="112" t="s">
        <v>54</v>
      </c>
      <c r="E417" s="112" t="s">
        <v>70</v>
      </c>
      <c r="F417" s="112" t="s">
        <v>27</v>
      </c>
      <c r="G417" s="118">
        <v>1.0</v>
      </c>
      <c r="H417" s="115">
        <f t="shared" si="61"/>
        <v>5</v>
      </c>
      <c r="I417" s="116">
        <f t="shared" si="62"/>
        <v>5</v>
      </c>
      <c r="J417" s="116">
        <f t="shared" si="63"/>
        <v>2</v>
      </c>
      <c r="K417" s="117">
        <v>2.0</v>
      </c>
      <c r="L417" s="118">
        <v>0.0</v>
      </c>
      <c r="M417" s="118">
        <v>0.0</v>
      </c>
      <c r="N417" s="118">
        <v>0.0</v>
      </c>
      <c r="O417" s="118">
        <v>0.0</v>
      </c>
      <c r="P417" s="118">
        <v>0.0</v>
      </c>
      <c r="Q417" s="118">
        <v>0.0</v>
      </c>
      <c r="R417" s="118">
        <v>0.0</v>
      </c>
      <c r="S417" s="118">
        <v>0.0</v>
      </c>
      <c r="T417" s="118">
        <v>0.0</v>
      </c>
      <c r="U417" s="118">
        <v>0.0</v>
      </c>
      <c r="V417" s="118">
        <v>3.0</v>
      </c>
      <c r="W417" s="118">
        <v>2.0</v>
      </c>
      <c r="X417" s="119">
        <v>2.0</v>
      </c>
      <c r="Y417" s="149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ht="15.75" customHeight="1">
      <c r="A418" s="109">
        <v>35.0</v>
      </c>
      <c r="B418" s="99">
        <v>45894.0</v>
      </c>
      <c r="C418" s="100">
        <v>0.8958333333333334</v>
      </c>
      <c r="D418" s="101" t="s">
        <v>54</v>
      </c>
      <c r="E418" s="101" t="s">
        <v>70</v>
      </c>
      <c r="F418" s="101" t="s">
        <v>26</v>
      </c>
      <c r="G418" s="107">
        <v>2.0</v>
      </c>
      <c r="H418" s="104">
        <f t="shared" si="61"/>
        <v>5</v>
      </c>
      <c r="I418" s="105">
        <f t="shared" si="62"/>
        <v>5</v>
      </c>
      <c r="J418" s="105">
        <f t="shared" si="63"/>
        <v>5</v>
      </c>
      <c r="K418" s="106">
        <v>5.0</v>
      </c>
      <c r="L418" s="107">
        <v>0.0</v>
      </c>
      <c r="M418" s="107">
        <v>0.0</v>
      </c>
      <c r="N418" s="107">
        <v>0.0</v>
      </c>
      <c r="O418" s="107">
        <v>0.0</v>
      </c>
      <c r="P418" s="107">
        <v>0.0</v>
      </c>
      <c r="Q418" s="107">
        <v>0.0</v>
      </c>
      <c r="R418" s="107">
        <v>0.0</v>
      </c>
      <c r="S418" s="107">
        <v>0.0</v>
      </c>
      <c r="T418" s="107">
        <v>0.0</v>
      </c>
      <c r="U418" s="107">
        <v>0.0</v>
      </c>
      <c r="V418" s="107">
        <v>0.0</v>
      </c>
      <c r="W418" s="107">
        <v>1.0</v>
      </c>
      <c r="X418" s="108">
        <v>1.0</v>
      </c>
      <c r="Y418" s="149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ht="15.75" customHeight="1">
      <c r="A419" s="109">
        <v>35.0</v>
      </c>
      <c r="B419" s="110">
        <v>45894.0</v>
      </c>
      <c r="C419" s="111">
        <v>0.8958333333333334</v>
      </c>
      <c r="D419" s="112" t="s">
        <v>54</v>
      </c>
      <c r="E419" s="112" t="s">
        <v>70</v>
      </c>
      <c r="F419" s="112" t="s">
        <v>32</v>
      </c>
      <c r="G419" s="118">
        <v>3.0</v>
      </c>
      <c r="H419" s="104">
        <f t="shared" si="61"/>
        <v>5</v>
      </c>
      <c r="I419" s="105">
        <f t="shared" si="62"/>
        <v>4</v>
      </c>
      <c r="J419" s="105">
        <f t="shared" si="63"/>
        <v>2</v>
      </c>
      <c r="K419" s="117">
        <v>1.0</v>
      </c>
      <c r="L419" s="118">
        <v>1.0</v>
      </c>
      <c r="M419" s="118">
        <v>0.0</v>
      </c>
      <c r="N419" s="118">
        <v>0.0</v>
      </c>
      <c r="O419" s="118">
        <v>0.0</v>
      </c>
      <c r="P419" s="118">
        <v>1.0</v>
      </c>
      <c r="Q419" s="118">
        <v>1.0</v>
      </c>
      <c r="R419" s="118">
        <v>0.0</v>
      </c>
      <c r="S419" s="118">
        <v>0.0</v>
      </c>
      <c r="T419" s="118">
        <v>0.0</v>
      </c>
      <c r="U419" s="118">
        <v>0.0</v>
      </c>
      <c r="V419" s="118">
        <v>1.0</v>
      </c>
      <c r="W419" s="118">
        <v>0.0</v>
      </c>
      <c r="X419" s="119">
        <v>3.0</v>
      </c>
      <c r="Y419" s="149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ht="15.75" customHeight="1">
      <c r="A420" s="109">
        <v>35.0</v>
      </c>
      <c r="B420" s="110">
        <v>45894.0</v>
      </c>
      <c r="C420" s="111">
        <v>0.8958333333333334</v>
      </c>
      <c r="D420" s="112" t="s">
        <v>54</v>
      </c>
      <c r="E420" s="112" t="s">
        <v>70</v>
      </c>
      <c r="F420" s="101" t="s">
        <v>30</v>
      </c>
      <c r="G420" s="107">
        <v>4.0</v>
      </c>
      <c r="H420" s="104">
        <f t="shared" si="61"/>
        <v>5</v>
      </c>
      <c r="I420" s="105">
        <f t="shared" si="62"/>
        <v>5</v>
      </c>
      <c r="J420" s="105">
        <f t="shared" si="63"/>
        <v>1</v>
      </c>
      <c r="K420" s="106">
        <v>0.0</v>
      </c>
      <c r="L420" s="107">
        <v>1.0</v>
      </c>
      <c r="M420" s="107">
        <v>0.0</v>
      </c>
      <c r="N420" s="107">
        <v>0.0</v>
      </c>
      <c r="O420" s="107">
        <v>0.0</v>
      </c>
      <c r="P420" s="107">
        <v>0.0</v>
      </c>
      <c r="Q420" s="107">
        <v>0.0</v>
      </c>
      <c r="R420" s="107">
        <v>0.0</v>
      </c>
      <c r="S420" s="107">
        <v>0.0</v>
      </c>
      <c r="T420" s="107">
        <v>0.0</v>
      </c>
      <c r="U420" s="107">
        <v>1.0</v>
      </c>
      <c r="V420" s="107">
        <v>3.0</v>
      </c>
      <c r="W420" s="107">
        <v>1.0</v>
      </c>
      <c r="X420" s="108">
        <v>0.0</v>
      </c>
      <c r="Y420" s="149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ht="15.75" customHeight="1">
      <c r="A421" s="109">
        <v>35.0</v>
      </c>
      <c r="B421" s="99">
        <v>45894.0</v>
      </c>
      <c r="C421" s="100">
        <v>0.8958333333333334</v>
      </c>
      <c r="D421" s="101" t="s">
        <v>54</v>
      </c>
      <c r="E421" s="112" t="s">
        <v>70</v>
      </c>
      <c r="F421" s="112" t="s">
        <v>33</v>
      </c>
      <c r="G421" s="118">
        <v>5.0</v>
      </c>
      <c r="H421" s="104">
        <f t="shared" si="61"/>
        <v>4</v>
      </c>
      <c r="I421" s="105">
        <f t="shared" si="62"/>
        <v>4</v>
      </c>
      <c r="J421" s="105">
        <f t="shared" si="63"/>
        <v>1</v>
      </c>
      <c r="K421" s="117">
        <v>1.0</v>
      </c>
      <c r="L421" s="118">
        <v>0.0</v>
      </c>
      <c r="M421" s="118">
        <v>0.0</v>
      </c>
      <c r="N421" s="118">
        <v>0.0</v>
      </c>
      <c r="O421" s="118">
        <v>0.0</v>
      </c>
      <c r="P421" s="118">
        <v>0.0</v>
      </c>
      <c r="Q421" s="118">
        <v>0.0</v>
      </c>
      <c r="R421" s="118">
        <v>0.0</v>
      </c>
      <c r="S421" s="118">
        <v>0.0</v>
      </c>
      <c r="T421" s="118">
        <v>0.0</v>
      </c>
      <c r="U421" s="118">
        <v>0.0</v>
      </c>
      <c r="V421" s="118">
        <v>3.0</v>
      </c>
      <c r="W421" s="118">
        <v>1.0</v>
      </c>
      <c r="X421" s="119">
        <v>0.0</v>
      </c>
      <c r="Y421" s="149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ht="15.75" customHeight="1">
      <c r="A422" s="109">
        <v>35.0</v>
      </c>
      <c r="B422" s="110">
        <v>45894.0</v>
      </c>
      <c r="C422" s="111">
        <v>0.8958333333333334</v>
      </c>
      <c r="D422" s="112" t="s">
        <v>54</v>
      </c>
      <c r="E422" s="112" t="s">
        <v>70</v>
      </c>
      <c r="F422" s="112" t="s">
        <v>29</v>
      </c>
      <c r="G422" s="107">
        <v>6.0</v>
      </c>
      <c r="H422" s="104">
        <f t="shared" si="61"/>
        <v>4</v>
      </c>
      <c r="I422" s="105">
        <f t="shared" si="62"/>
        <v>4</v>
      </c>
      <c r="J422" s="105">
        <f t="shared" si="63"/>
        <v>3</v>
      </c>
      <c r="K422" s="117">
        <v>2.0</v>
      </c>
      <c r="L422" s="118">
        <v>1.0</v>
      </c>
      <c r="M422" s="118">
        <v>0.0</v>
      </c>
      <c r="N422" s="118">
        <v>0.0</v>
      </c>
      <c r="O422" s="118">
        <v>0.0</v>
      </c>
      <c r="P422" s="118">
        <v>0.0</v>
      </c>
      <c r="Q422" s="118">
        <v>0.0</v>
      </c>
      <c r="R422" s="118">
        <v>0.0</v>
      </c>
      <c r="S422" s="118">
        <v>0.0</v>
      </c>
      <c r="T422" s="118">
        <v>0.0</v>
      </c>
      <c r="U422" s="118">
        <v>0.0</v>
      </c>
      <c r="V422" s="118">
        <v>1.0</v>
      </c>
      <c r="W422" s="118">
        <v>1.0</v>
      </c>
      <c r="X422" s="119">
        <v>1.0</v>
      </c>
      <c r="Y422" s="149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ht="15.75" customHeight="1">
      <c r="A423" s="109">
        <v>35.0</v>
      </c>
      <c r="B423" s="99">
        <v>45894.0</v>
      </c>
      <c r="C423" s="100">
        <v>0.8958333333333334</v>
      </c>
      <c r="D423" s="101" t="s">
        <v>54</v>
      </c>
      <c r="E423" s="112" t="s">
        <v>70</v>
      </c>
      <c r="F423" s="133" t="s">
        <v>31</v>
      </c>
      <c r="G423" s="118">
        <v>7.0</v>
      </c>
      <c r="H423" s="104">
        <f t="shared" si="61"/>
        <v>4</v>
      </c>
      <c r="I423" s="105">
        <f t="shared" si="62"/>
        <v>4</v>
      </c>
      <c r="J423" s="105">
        <f t="shared" si="63"/>
        <v>3</v>
      </c>
      <c r="K423" s="136">
        <v>2.0</v>
      </c>
      <c r="L423" s="137">
        <v>0.0</v>
      </c>
      <c r="M423" s="137">
        <v>1.0</v>
      </c>
      <c r="N423" s="137">
        <v>0.0</v>
      </c>
      <c r="O423" s="137">
        <v>0.0</v>
      </c>
      <c r="P423" s="137">
        <v>0.0</v>
      </c>
      <c r="Q423" s="137">
        <v>0.0</v>
      </c>
      <c r="R423" s="137">
        <v>0.0</v>
      </c>
      <c r="S423" s="137">
        <v>0.0</v>
      </c>
      <c r="T423" s="137">
        <v>0.0</v>
      </c>
      <c r="U423" s="137">
        <v>0.0</v>
      </c>
      <c r="V423" s="137">
        <v>1.0</v>
      </c>
      <c r="W423" s="137">
        <v>1.0</v>
      </c>
      <c r="X423" s="138">
        <v>1.0</v>
      </c>
      <c r="Y423" s="149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ht="15.75" customHeight="1">
      <c r="A424" s="109">
        <v>35.0</v>
      </c>
      <c r="B424" s="110">
        <v>45894.0</v>
      </c>
      <c r="C424" s="111">
        <v>0.8958333333333334</v>
      </c>
      <c r="D424" s="112" t="s">
        <v>54</v>
      </c>
      <c r="E424" s="112" t="s">
        <v>70</v>
      </c>
      <c r="F424" s="101" t="s">
        <v>34</v>
      </c>
      <c r="G424" s="107">
        <v>8.0</v>
      </c>
      <c r="H424" s="104">
        <f t="shared" si="61"/>
        <v>4</v>
      </c>
      <c r="I424" s="105">
        <f t="shared" si="62"/>
        <v>4</v>
      </c>
      <c r="J424" s="105">
        <f t="shared" si="63"/>
        <v>2</v>
      </c>
      <c r="K424" s="106">
        <v>2.0</v>
      </c>
      <c r="L424" s="107">
        <v>0.0</v>
      </c>
      <c r="M424" s="107">
        <v>0.0</v>
      </c>
      <c r="N424" s="107">
        <v>0.0</v>
      </c>
      <c r="O424" s="107">
        <v>0.0</v>
      </c>
      <c r="P424" s="107">
        <v>1.0</v>
      </c>
      <c r="Q424" s="107">
        <v>0.0</v>
      </c>
      <c r="R424" s="107">
        <v>0.0</v>
      </c>
      <c r="S424" s="107">
        <v>0.0</v>
      </c>
      <c r="T424" s="107">
        <v>0.0</v>
      </c>
      <c r="U424" s="107">
        <v>1.0</v>
      </c>
      <c r="V424" s="107">
        <v>0.0</v>
      </c>
      <c r="W424" s="107">
        <v>2.0</v>
      </c>
      <c r="X424" s="108">
        <v>1.0</v>
      </c>
      <c r="Y424" s="149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ht="15.75" customHeight="1">
      <c r="A425" s="148">
        <v>35.0</v>
      </c>
      <c r="B425" s="131">
        <v>45894.0</v>
      </c>
      <c r="C425" s="132">
        <v>0.8958333333333334</v>
      </c>
      <c r="D425" s="133" t="s">
        <v>54</v>
      </c>
      <c r="E425" s="133" t="s">
        <v>70</v>
      </c>
      <c r="F425" s="147" t="s">
        <v>36</v>
      </c>
      <c r="G425" s="118">
        <v>9.0</v>
      </c>
      <c r="H425" s="104">
        <f t="shared" si="61"/>
        <v>4</v>
      </c>
      <c r="I425" s="105">
        <f t="shared" si="62"/>
        <v>4</v>
      </c>
      <c r="J425" s="105">
        <f t="shared" si="63"/>
        <v>3</v>
      </c>
      <c r="K425" s="144">
        <v>3.0</v>
      </c>
      <c r="L425" s="145">
        <v>0.0</v>
      </c>
      <c r="M425" s="145">
        <v>0.0</v>
      </c>
      <c r="N425" s="145">
        <v>0.0</v>
      </c>
      <c r="O425" s="145">
        <v>0.0</v>
      </c>
      <c r="P425" s="145">
        <v>1.0</v>
      </c>
      <c r="Q425" s="145">
        <v>0.0</v>
      </c>
      <c r="R425" s="145">
        <v>0.0</v>
      </c>
      <c r="S425" s="145">
        <v>0.0</v>
      </c>
      <c r="T425" s="145">
        <v>0.0</v>
      </c>
      <c r="U425" s="145">
        <v>0.0</v>
      </c>
      <c r="V425" s="145">
        <v>0.0</v>
      </c>
      <c r="W425" s="145">
        <v>2.0</v>
      </c>
      <c r="X425" s="146">
        <v>1.0</v>
      </c>
      <c r="Y425" s="149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ht="15.75" customHeight="1">
      <c r="A426" s="148">
        <v>35.0</v>
      </c>
      <c r="B426" s="131">
        <v>45894.0</v>
      </c>
      <c r="C426" s="132">
        <v>0.8958333333333334</v>
      </c>
      <c r="D426" s="133" t="s">
        <v>54</v>
      </c>
      <c r="E426" s="133" t="s">
        <v>70</v>
      </c>
      <c r="F426" s="147" t="s">
        <v>38</v>
      </c>
      <c r="G426" s="118">
        <v>10.0</v>
      </c>
      <c r="H426" s="104">
        <f t="shared" si="61"/>
        <v>4</v>
      </c>
      <c r="I426" s="105">
        <f t="shared" si="62"/>
        <v>4</v>
      </c>
      <c r="J426" s="105">
        <f t="shared" si="63"/>
        <v>2</v>
      </c>
      <c r="K426" s="144">
        <v>1.0</v>
      </c>
      <c r="L426" s="145">
        <v>1.0</v>
      </c>
      <c r="M426" s="145">
        <v>0.0</v>
      </c>
      <c r="N426" s="145">
        <v>0.0</v>
      </c>
      <c r="O426" s="145">
        <v>0.0</v>
      </c>
      <c r="P426" s="145">
        <v>0.0</v>
      </c>
      <c r="Q426" s="145">
        <v>0.0</v>
      </c>
      <c r="R426" s="145">
        <v>0.0</v>
      </c>
      <c r="S426" s="145">
        <v>0.0</v>
      </c>
      <c r="T426" s="145">
        <v>0.0</v>
      </c>
      <c r="U426" s="145">
        <v>1.0</v>
      </c>
      <c r="V426" s="145">
        <v>1.0</v>
      </c>
      <c r="W426" s="145">
        <v>2.0</v>
      </c>
      <c r="X426" s="146">
        <v>3.0</v>
      </c>
      <c r="Y426" s="149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ht="15.75" customHeight="1">
      <c r="A427" s="121">
        <v>35.0</v>
      </c>
      <c r="B427" s="122">
        <v>45894.0</v>
      </c>
      <c r="C427" s="123">
        <v>0.8958333333333334</v>
      </c>
      <c r="D427" s="124" t="s">
        <v>54</v>
      </c>
      <c r="E427" s="124" t="s">
        <v>70</v>
      </c>
      <c r="F427" s="124" t="s">
        <v>44</v>
      </c>
      <c r="G427" s="125"/>
      <c r="H427" s="126">
        <f t="shared" si="61"/>
        <v>44</v>
      </c>
      <c r="I427" s="127">
        <f t="shared" si="62"/>
        <v>43</v>
      </c>
      <c r="J427" s="127">
        <f t="shared" si="63"/>
        <v>24</v>
      </c>
      <c r="K427" s="126">
        <f t="shared" ref="K427:X427" si="83">SUBTOTAL(109,K417:K426)</f>
        <v>19</v>
      </c>
      <c r="L427" s="127">
        <f t="shared" si="83"/>
        <v>4</v>
      </c>
      <c r="M427" s="127">
        <f t="shared" si="83"/>
        <v>1</v>
      </c>
      <c r="N427" s="127">
        <f t="shared" si="83"/>
        <v>0</v>
      </c>
      <c r="O427" s="127">
        <f t="shared" si="83"/>
        <v>0</v>
      </c>
      <c r="P427" s="127">
        <f t="shared" si="83"/>
        <v>3</v>
      </c>
      <c r="Q427" s="127">
        <f t="shared" si="83"/>
        <v>1</v>
      </c>
      <c r="R427" s="127">
        <f t="shared" si="83"/>
        <v>0</v>
      </c>
      <c r="S427" s="127">
        <f t="shared" si="83"/>
        <v>0</v>
      </c>
      <c r="T427" s="127">
        <f t="shared" si="83"/>
        <v>0</v>
      </c>
      <c r="U427" s="127">
        <f t="shared" si="83"/>
        <v>3</v>
      </c>
      <c r="V427" s="127">
        <f t="shared" si="83"/>
        <v>13</v>
      </c>
      <c r="W427" s="127">
        <f t="shared" si="83"/>
        <v>13</v>
      </c>
      <c r="X427" s="128">
        <f t="shared" si="83"/>
        <v>13</v>
      </c>
      <c r="Y427" s="149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ht="15.75" customHeight="1">
      <c r="A428" s="109">
        <v>36.0</v>
      </c>
      <c r="B428" s="110">
        <v>45903.0</v>
      </c>
      <c r="C428" s="111">
        <v>0.8958333333333334</v>
      </c>
      <c r="D428" s="112" t="s">
        <v>54</v>
      </c>
      <c r="E428" s="112" t="s">
        <v>67</v>
      </c>
      <c r="F428" s="112" t="s">
        <v>28</v>
      </c>
      <c r="G428" s="118">
        <v>1.0</v>
      </c>
      <c r="H428" s="115">
        <f t="shared" si="61"/>
        <v>6</v>
      </c>
      <c r="I428" s="116">
        <f t="shared" si="62"/>
        <v>6</v>
      </c>
      <c r="J428" s="116">
        <f t="shared" si="63"/>
        <v>5</v>
      </c>
      <c r="K428" s="117">
        <v>5.0</v>
      </c>
      <c r="L428" s="118">
        <v>0.0</v>
      </c>
      <c r="M428" s="118">
        <v>0.0</v>
      </c>
      <c r="N428" s="118">
        <v>0.0</v>
      </c>
      <c r="O428" s="118">
        <v>0.0</v>
      </c>
      <c r="P428" s="118">
        <v>0.0</v>
      </c>
      <c r="Q428" s="118">
        <v>0.0</v>
      </c>
      <c r="R428" s="118">
        <v>0.0</v>
      </c>
      <c r="S428" s="118">
        <v>0.0</v>
      </c>
      <c r="T428" s="118">
        <v>0.0</v>
      </c>
      <c r="U428" s="118">
        <v>1.0</v>
      </c>
      <c r="V428" s="118">
        <v>0.0</v>
      </c>
      <c r="W428" s="118">
        <v>2.0</v>
      </c>
      <c r="X428" s="119">
        <v>2.0</v>
      </c>
      <c r="Y428" s="149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ht="15.75" customHeight="1">
      <c r="A429" s="109">
        <v>36.0</v>
      </c>
      <c r="B429" s="110">
        <v>45903.0</v>
      </c>
      <c r="C429" s="100">
        <v>0.8958333333333334</v>
      </c>
      <c r="D429" s="101" t="s">
        <v>54</v>
      </c>
      <c r="E429" s="101" t="s">
        <v>67</v>
      </c>
      <c r="F429" s="101" t="s">
        <v>34</v>
      </c>
      <c r="G429" s="107">
        <v>2.0</v>
      </c>
      <c r="H429" s="104">
        <f t="shared" si="61"/>
        <v>6</v>
      </c>
      <c r="I429" s="105">
        <f t="shared" si="62"/>
        <v>5</v>
      </c>
      <c r="J429" s="105">
        <f t="shared" si="63"/>
        <v>3</v>
      </c>
      <c r="K429" s="106">
        <v>2.0</v>
      </c>
      <c r="L429" s="107">
        <v>1.0</v>
      </c>
      <c r="M429" s="107">
        <v>0.0</v>
      </c>
      <c r="N429" s="107">
        <v>0.0</v>
      </c>
      <c r="O429" s="107">
        <v>0.0</v>
      </c>
      <c r="P429" s="107">
        <v>1.0</v>
      </c>
      <c r="Q429" s="107">
        <v>0.0</v>
      </c>
      <c r="R429" s="107">
        <v>1.0</v>
      </c>
      <c r="S429" s="107">
        <v>0.0</v>
      </c>
      <c r="T429" s="107">
        <v>0.0</v>
      </c>
      <c r="U429" s="107">
        <v>0.0</v>
      </c>
      <c r="V429" s="107">
        <v>1.0</v>
      </c>
      <c r="W429" s="107">
        <v>1.0</v>
      </c>
      <c r="X429" s="108">
        <v>5.0</v>
      </c>
      <c r="Y429" s="149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ht="15.75" customHeight="1">
      <c r="A430" s="109">
        <v>36.0</v>
      </c>
      <c r="B430" s="110">
        <v>45903.0</v>
      </c>
      <c r="C430" s="111">
        <v>0.8958333333333334</v>
      </c>
      <c r="D430" s="112" t="s">
        <v>54</v>
      </c>
      <c r="E430" s="112" t="s">
        <v>67</v>
      </c>
      <c r="F430" s="112" t="s">
        <v>26</v>
      </c>
      <c r="G430" s="118">
        <v>3.0</v>
      </c>
      <c r="H430" s="104">
        <f t="shared" si="61"/>
        <v>6</v>
      </c>
      <c r="I430" s="105">
        <f t="shared" si="62"/>
        <v>6</v>
      </c>
      <c r="J430" s="105">
        <f t="shared" si="63"/>
        <v>5</v>
      </c>
      <c r="K430" s="117">
        <v>1.0</v>
      </c>
      <c r="L430" s="118">
        <v>3.0</v>
      </c>
      <c r="M430" s="118">
        <v>1.0</v>
      </c>
      <c r="N430" s="118">
        <v>0.0</v>
      </c>
      <c r="O430" s="118">
        <v>0.0</v>
      </c>
      <c r="P430" s="118">
        <v>0.0</v>
      </c>
      <c r="Q430" s="118">
        <v>0.0</v>
      </c>
      <c r="R430" s="118">
        <v>0.0</v>
      </c>
      <c r="S430" s="118">
        <v>0.0</v>
      </c>
      <c r="T430" s="118">
        <v>0.0</v>
      </c>
      <c r="U430" s="118">
        <v>0.0</v>
      </c>
      <c r="V430" s="118">
        <v>1.0</v>
      </c>
      <c r="W430" s="118">
        <v>4.0</v>
      </c>
      <c r="X430" s="119">
        <v>3.0</v>
      </c>
      <c r="Y430" s="149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ht="15.75" customHeight="1">
      <c r="A431" s="109">
        <v>36.0</v>
      </c>
      <c r="B431" s="110">
        <v>45903.0</v>
      </c>
      <c r="C431" s="111">
        <v>0.8958333333333334</v>
      </c>
      <c r="D431" s="112" t="s">
        <v>54</v>
      </c>
      <c r="E431" s="112" t="s">
        <v>67</v>
      </c>
      <c r="F431" s="101" t="s">
        <v>30</v>
      </c>
      <c r="G431" s="107">
        <v>4.0</v>
      </c>
      <c r="H431" s="104">
        <f t="shared" si="61"/>
        <v>6</v>
      </c>
      <c r="I431" s="105">
        <f t="shared" si="62"/>
        <v>5</v>
      </c>
      <c r="J431" s="105">
        <f t="shared" si="63"/>
        <v>4</v>
      </c>
      <c r="K431" s="106">
        <v>2.0</v>
      </c>
      <c r="L431" s="107">
        <v>1.0</v>
      </c>
      <c r="M431" s="107">
        <v>0.0</v>
      </c>
      <c r="N431" s="107">
        <v>0.0</v>
      </c>
      <c r="O431" s="107">
        <v>1.0</v>
      </c>
      <c r="P431" s="107">
        <v>0.0</v>
      </c>
      <c r="Q431" s="107">
        <v>0.0</v>
      </c>
      <c r="R431" s="107">
        <v>1.0</v>
      </c>
      <c r="S431" s="107">
        <v>1.0</v>
      </c>
      <c r="T431" s="107">
        <v>0.0</v>
      </c>
      <c r="U431" s="107">
        <v>0.0</v>
      </c>
      <c r="V431" s="107">
        <v>0.0</v>
      </c>
      <c r="W431" s="107">
        <v>1.0</v>
      </c>
      <c r="X431" s="108">
        <v>5.0</v>
      </c>
      <c r="Y431" s="149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ht="15.75" customHeight="1">
      <c r="A432" s="109">
        <v>36.0</v>
      </c>
      <c r="B432" s="99">
        <v>45903.0</v>
      </c>
      <c r="C432" s="100">
        <v>0.8958333333333334</v>
      </c>
      <c r="D432" s="101" t="s">
        <v>54</v>
      </c>
      <c r="E432" s="112" t="s">
        <v>67</v>
      </c>
      <c r="F432" s="112" t="s">
        <v>35</v>
      </c>
      <c r="G432" s="118">
        <v>5.0</v>
      </c>
      <c r="H432" s="104">
        <f t="shared" si="61"/>
        <v>6</v>
      </c>
      <c r="I432" s="105">
        <f t="shared" si="62"/>
        <v>6</v>
      </c>
      <c r="J432" s="105">
        <f t="shared" si="63"/>
        <v>4</v>
      </c>
      <c r="K432" s="117">
        <v>4.0</v>
      </c>
      <c r="L432" s="118">
        <v>0.0</v>
      </c>
      <c r="M432" s="118">
        <v>0.0</v>
      </c>
      <c r="N432" s="118">
        <v>0.0</v>
      </c>
      <c r="O432" s="118">
        <v>0.0</v>
      </c>
      <c r="P432" s="118">
        <v>1.0</v>
      </c>
      <c r="Q432" s="118">
        <v>0.0</v>
      </c>
      <c r="R432" s="118">
        <v>0.0</v>
      </c>
      <c r="S432" s="118">
        <v>0.0</v>
      </c>
      <c r="T432" s="118">
        <v>0.0</v>
      </c>
      <c r="U432" s="118">
        <v>0.0</v>
      </c>
      <c r="V432" s="118">
        <v>1.0</v>
      </c>
      <c r="W432" s="118">
        <v>4.0</v>
      </c>
      <c r="X432" s="119">
        <v>1.0</v>
      </c>
      <c r="Y432" s="149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ht="15.75" customHeight="1">
      <c r="A433" s="109">
        <v>36.0</v>
      </c>
      <c r="B433" s="110">
        <v>45903.0</v>
      </c>
      <c r="C433" s="111">
        <v>0.8958333333333334</v>
      </c>
      <c r="D433" s="112" t="s">
        <v>54</v>
      </c>
      <c r="E433" s="112" t="s">
        <v>67</v>
      </c>
      <c r="F433" s="112" t="s">
        <v>33</v>
      </c>
      <c r="G433" s="107">
        <v>6.0</v>
      </c>
      <c r="H433" s="104">
        <f t="shared" si="61"/>
        <v>4</v>
      </c>
      <c r="I433" s="105">
        <f t="shared" si="62"/>
        <v>4</v>
      </c>
      <c r="J433" s="105">
        <f t="shared" si="63"/>
        <v>3</v>
      </c>
      <c r="K433" s="117">
        <v>3.0</v>
      </c>
      <c r="L433" s="118">
        <v>0.0</v>
      </c>
      <c r="M433" s="118">
        <v>0.0</v>
      </c>
      <c r="N433" s="118">
        <v>0.0</v>
      </c>
      <c r="O433" s="118">
        <v>0.0</v>
      </c>
      <c r="P433" s="118">
        <v>1.0</v>
      </c>
      <c r="Q433" s="118">
        <v>0.0</v>
      </c>
      <c r="R433" s="118">
        <v>0.0</v>
      </c>
      <c r="S433" s="118">
        <v>0.0</v>
      </c>
      <c r="T433" s="118">
        <v>0.0</v>
      </c>
      <c r="U433" s="118">
        <v>0.0</v>
      </c>
      <c r="V433" s="118">
        <v>0.0</v>
      </c>
      <c r="W433" s="118">
        <v>4.0</v>
      </c>
      <c r="X433" s="119">
        <v>0.0</v>
      </c>
      <c r="Y433" s="149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ht="15.75" customHeight="1">
      <c r="A434" s="109">
        <v>36.0</v>
      </c>
      <c r="B434" s="99">
        <v>45903.0</v>
      </c>
      <c r="C434" s="100">
        <v>0.8958333333333334</v>
      </c>
      <c r="D434" s="101" t="s">
        <v>54</v>
      </c>
      <c r="E434" s="112" t="s">
        <v>67</v>
      </c>
      <c r="F434" s="133" t="s">
        <v>36</v>
      </c>
      <c r="G434" s="118">
        <v>7.0</v>
      </c>
      <c r="H434" s="104">
        <f t="shared" si="61"/>
        <v>5</v>
      </c>
      <c r="I434" s="105">
        <f t="shared" si="62"/>
        <v>5</v>
      </c>
      <c r="J434" s="105">
        <f t="shared" si="63"/>
        <v>4</v>
      </c>
      <c r="K434" s="136">
        <v>1.0</v>
      </c>
      <c r="L434" s="137">
        <v>3.0</v>
      </c>
      <c r="M434" s="137">
        <v>0.0</v>
      </c>
      <c r="N434" s="137">
        <v>0.0</v>
      </c>
      <c r="O434" s="137">
        <v>0.0</v>
      </c>
      <c r="P434" s="137">
        <v>0.0</v>
      </c>
      <c r="Q434" s="137">
        <v>0.0</v>
      </c>
      <c r="R434" s="137">
        <v>0.0</v>
      </c>
      <c r="S434" s="137">
        <v>0.0</v>
      </c>
      <c r="T434" s="137">
        <v>0.0</v>
      </c>
      <c r="U434" s="137">
        <v>0.0</v>
      </c>
      <c r="V434" s="137">
        <v>1.0</v>
      </c>
      <c r="W434" s="137">
        <v>4.0</v>
      </c>
      <c r="X434" s="138">
        <v>4.0</v>
      </c>
      <c r="Y434" s="149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ht="15.75" customHeight="1">
      <c r="A435" s="109">
        <v>36.0</v>
      </c>
      <c r="B435" s="110">
        <v>45903.0</v>
      </c>
      <c r="C435" s="111">
        <v>0.8958333333333334</v>
      </c>
      <c r="D435" s="112" t="s">
        <v>54</v>
      </c>
      <c r="E435" s="112" t="s">
        <v>67</v>
      </c>
      <c r="F435" s="101" t="s">
        <v>38</v>
      </c>
      <c r="G435" s="107">
        <v>8.0</v>
      </c>
      <c r="H435" s="104">
        <f t="shared" si="61"/>
        <v>5</v>
      </c>
      <c r="I435" s="105">
        <f t="shared" si="62"/>
        <v>5</v>
      </c>
      <c r="J435" s="105">
        <f t="shared" si="63"/>
        <v>4</v>
      </c>
      <c r="K435" s="106">
        <v>4.0</v>
      </c>
      <c r="L435" s="107">
        <v>0.0</v>
      </c>
      <c r="M435" s="107">
        <v>0.0</v>
      </c>
      <c r="N435" s="107">
        <v>0.0</v>
      </c>
      <c r="O435" s="107">
        <v>0.0</v>
      </c>
      <c r="P435" s="107">
        <v>0.0</v>
      </c>
      <c r="Q435" s="107">
        <v>0.0</v>
      </c>
      <c r="R435" s="107">
        <v>0.0</v>
      </c>
      <c r="S435" s="107">
        <v>0.0</v>
      </c>
      <c r="T435" s="107">
        <v>0.0</v>
      </c>
      <c r="U435" s="107">
        <v>0.0</v>
      </c>
      <c r="V435" s="107">
        <v>1.0</v>
      </c>
      <c r="W435" s="107">
        <v>3.0</v>
      </c>
      <c r="X435" s="108">
        <v>4.0</v>
      </c>
      <c r="Y435" s="149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ht="15.75" customHeight="1">
      <c r="A436" s="148">
        <v>36.0</v>
      </c>
      <c r="B436" s="131">
        <v>45903.0</v>
      </c>
      <c r="C436" s="132">
        <v>0.8958333333333334</v>
      </c>
      <c r="D436" s="133" t="s">
        <v>54</v>
      </c>
      <c r="E436" s="133" t="s">
        <v>67</v>
      </c>
      <c r="F436" s="147" t="s">
        <v>71</v>
      </c>
      <c r="G436" s="118">
        <v>9.0</v>
      </c>
      <c r="H436" s="104">
        <f t="shared" si="61"/>
        <v>5</v>
      </c>
      <c r="I436" s="105">
        <f t="shared" si="62"/>
        <v>4</v>
      </c>
      <c r="J436" s="105">
        <f t="shared" si="63"/>
        <v>4</v>
      </c>
      <c r="K436" s="144">
        <v>4.0</v>
      </c>
      <c r="L436" s="145">
        <v>0.0</v>
      </c>
      <c r="M436" s="145">
        <v>0.0</v>
      </c>
      <c r="N436" s="145">
        <v>0.0</v>
      </c>
      <c r="O436" s="145">
        <v>0.0</v>
      </c>
      <c r="P436" s="145">
        <v>0.0</v>
      </c>
      <c r="Q436" s="145">
        <v>0.0</v>
      </c>
      <c r="R436" s="145">
        <v>1.0</v>
      </c>
      <c r="S436" s="145">
        <v>0.0</v>
      </c>
      <c r="T436" s="145">
        <v>0.0</v>
      </c>
      <c r="U436" s="145">
        <v>0.0</v>
      </c>
      <c r="V436" s="145">
        <v>0.0</v>
      </c>
      <c r="W436" s="145">
        <v>4.0</v>
      </c>
      <c r="X436" s="146">
        <v>3.0</v>
      </c>
      <c r="Y436" s="149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ht="15.75" customHeight="1">
      <c r="A437" s="121">
        <v>36.0</v>
      </c>
      <c r="B437" s="122">
        <v>45903.0</v>
      </c>
      <c r="C437" s="123">
        <v>0.8958333333333334</v>
      </c>
      <c r="D437" s="124" t="s">
        <v>54</v>
      </c>
      <c r="E437" s="124" t="s">
        <v>67</v>
      </c>
      <c r="F437" s="124" t="s">
        <v>44</v>
      </c>
      <c r="G437" s="125"/>
      <c r="H437" s="126">
        <f t="shared" si="61"/>
        <v>49</v>
      </c>
      <c r="I437" s="127">
        <f t="shared" si="62"/>
        <v>46</v>
      </c>
      <c r="J437" s="127">
        <f t="shared" si="63"/>
        <v>36</v>
      </c>
      <c r="K437" s="126">
        <f t="shared" ref="K437:X437" si="84">SUBTOTAL(109,K428:K436)</f>
        <v>26</v>
      </c>
      <c r="L437" s="127">
        <f t="shared" si="84"/>
        <v>8</v>
      </c>
      <c r="M437" s="127">
        <f t="shared" si="84"/>
        <v>1</v>
      </c>
      <c r="N437" s="127">
        <f t="shared" si="84"/>
        <v>0</v>
      </c>
      <c r="O437" s="127">
        <f t="shared" si="84"/>
        <v>1</v>
      </c>
      <c r="P437" s="127">
        <f t="shared" si="84"/>
        <v>3</v>
      </c>
      <c r="Q437" s="127">
        <f t="shared" si="84"/>
        <v>0</v>
      </c>
      <c r="R437" s="127">
        <f t="shared" si="84"/>
        <v>3</v>
      </c>
      <c r="S437" s="127">
        <f t="shared" si="84"/>
        <v>1</v>
      </c>
      <c r="T437" s="127">
        <f t="shared" si="84"/>
        <v>0</v>
      </c>
      <c r="U437" s="127">
        <f t="shared" si="84"/>
        <v>1</v>
      </c>
      <c r="V437" s="127">
        <f t="shared" si="84"/>
        <v>5</v>
      </c>
      <c r="W437" s="127">
        <f t="shared" si="84"/>
        <v>27</v>
      </c>
      <c r="X437" s="128">
        <f t="shared" si="84"/>
        <v>27</v>
      </c>
      <c r="Y437" s="149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ht="15.75" customHeight="1">
      <c r="A438" s="109">
        <v>37.0</v>
      </c>
      <c r="B438" s="110">
        <v>45909.0</v>
      </c>
      <c r="C438" s="111">
        <v>0.8333333333333334</v>
      </c>
      <c r="D438" s="112" t="s">
        <v>58</v>
      </c>
      <c r="E438" s="112" t="s">
        <v>62</v>
      </c>
      <c r="F438" s="112" t="s">
        <v>28</v>
      </c>
      <c r="G438" s="118">
        <v>1.0</v>
      </c>
      <c r="H438" s="115">
        <f t="shared" si="61"/>
        <v>4</v>
      </c>
      <c r="I438" s="116">
        <f t="shared" si="62"/>
        <v>4</v>
      </c>
      <c r="J438" s="116">
        <f t="shared" si="63"/>
        <v>3</v>
      </c>
      <c r="K438" s="117">
        <v>3.0</v>
      </c>
      <c r="L438" s="118">
        <v>0.0</v>
      </c>
      <c r="M438" s="118">
        <v>0.0</v>
      </c>
      <c r="N438" s="118">
        <v>0.0</v>
      </c>
      <c r="O438" s="118">
        <v>0.0</v>
      </c>
      <c r="P438" s="118">
        <v>0.0</v>
      </c>
      <c r="Q438" s="118">
        <v>0.0</v>
      </c>
      <c r="R438" s="118">
        <v>0.0</v>
      </c>
      <c r="S438" s="118">
        <v>0.0</v>
      </c>
      <c r="T438" s="118">
        <v>0.0</v>
      </c>
      <c r="U438" s="118">
        <v>0.0</v>
      </c>
      <c r="V438" s="118">
        <v>1.0</v>
      </c>
      <c r="W438" s="118">
        <v>3.0</v>
      </c>
      <c r="X438" s="119">
        <v>1.0</v>
      </c>
      <c r="Y438" s="149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ht="15.75" customHeight="1">
      <c r="A439" s="109">
        <v>37.0</v>
      </c>
      <c r="B439" s="99">
        <v>45909.0</v>
      </c>
      <c r="C439" s="100">
        <v>0.8333333333333334</v>
      </c>
      <c r="D439" s="101" t="s">
        <v>58</v>
      </c>
      <c r="E439" s="101" t="s">
        <v>62</v>
      </c>
      <c r="F439" s="101" t="s">
        <v>25</v>
      </c>
      <c r="G439" s="107">
        <v>2.0</v>
      </c>
      <c r="H439" s="104">
        <f t="shared" si="61"/>
        <v>4</v>
      </c>
      <c r="I439" s="105">
        <f t="shared" si="62"/>
        <v>4</v>
      </c>
      <c r="J439" s="105">
        <f t="shared" si="63"/>
        <v>4</v>
      </c>
      <c r="K439" s="106">
        <v>4.0</v>
      </c>
      <c r="L439" s="107">
        <v>0.0</v>
      </c>
      <c r="M439" s="107">
        <v>0.0</v>
      </c>
      <c r="N439" s="107">
        <v>0.0</v>
      </c>
      <c r="O439" s="107">
        <v>0.0</v>
      </c>
      <c r="P439" s="107">
        <v>0.0</v>
      </c>
      <c r="Q439" s="107">
        <v>0.0</v>
      </c>
      <c r="R439" s="107">
        <v>0.0</v>
      </c>
      <c r="S439" s="107">
        <v>0.0</v>
      </c>
      <c r="T439" s="107">
        <v>0.0</v>
      </c>
      <c r="U439" s="107">
        <v>0.0</v>
      </c>
      <c r="V439" s="107">
        <v>0.0</v>
      </c>
      <c r="W439" s="107">
        <v>2.0</v>
      </c>
      <c r="X439" s="108">
        <v>0.0</v>
      </c>
      <c r="Y439" s="149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ht="15.75" customHeight="1">
      <c r="A440" s="109">
        <v>37.0</v>
      </c>
      <c r="B440" s="110">
        <v>45909.0</v>
      </c>
      <c r="C440" s="111">
        <v>0.8333333333333334</v>
      </c>
      <c r="D440" s="112" t="s">
        <v>58</v>
      </c>
      <c r="E440" s="112" t="s">
        <v>62</v>
      </c>
      <c r="F440" s="112" t="s">
        <v>27</v>
      </c>
      <c r="G440" s="118">
        <v>3.0</v>
      </c>
      <c r="H440" s="115">
        <f t="shared" si="61"/>
        <v>5</v>
      </c>
      <c r="I440" s="116">
        <f t="shared" si="62"/>
        <v>5</v>
      </c>
      <c r="J440" s="116">
        <f t="shared" si="63"/>
        <v>5</v>
      </c>
      <c r="K440" s="117">
        <v>3.0</v>
      </c>
      <c r="L440" s="118">
        <v>2.0</v>
      </c>
      <c r="M440" s="118">
        <v>0.0</v>
      </c>
      <c r="N440" s="118">
        <v>0.0</v>
      </c>
      <c r="O440" s="118">
        <v>0.0</v>
      </c>
      <c r="P440" s="118">
        <v>0.0</v>
      </c>
      <c r="Q440" s="118">
        <v>0.0</v>
      </c>
      <c r="R440" s="118">
        <v>0.0</v>
      </c>
      <c r="S440" s="118">
        <v>0.0</v>
      </c>
      <c r="T440" s="118">
        <v>0.0</v>
      </c>
      <c r="U440" s="118">
        <v>0.0</v>
      </c>
      <c r="V440" s="118">
        <v>0.0</v>
      </c>
      <c r="W440" s="118">
        <v>2.0</v>
      </c>
      <c r="X440" s="119">
        <v>5.0</v>
      </c>
      <c r="Y440" s="149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ht="15.75" customHeight="1">
      <c r="A441" s="109">
        <v>37.0</v>
      </c>
      <c r="B441" s="99">
        <v>45909.0</v>
      </c>
      <c r="C441" s="100">
        <v>0.8333333333333334</v>
      </c>
      <c r="D441" s="101" t="s">
        <v>58</v>
      </c>
      <c r="E441" s="101" t="s">
        <v>62</v>
      </c>
      <c r="F441" s="101" t="s">
        <v>32</v>
      </c>
      <c r="G441" s="107">
        <v>4.0</v>
      </c>
      <c r="H441" s="104">
        <f t="shared" si="61"/>
        <v>4</v>
      </c>
      <c r="I441" s="105">
        <f t="shared" si="62"/>
        <v>4</v>
      </c>
      <c r="J441" s="105">
        <f t="shared" si="63"/>
        <v>0</v>
      </c>
      <c r="K441" s="106">
        <v>0.0</v>
      </c>
      <c r="L441" s="107">
        <v>0.0</v>
      </c>
      <c r="M441" s="107">
        <v>0.0</v>
      </c>
      <c r="N441" s="107">
        <v>0.0</v>
      </c>
      <c r="O441" s="107">
        <v>0.0</v>
      </c>
      <c r="P441" s="107">
        <v>0.0</v>
      </c>
      <c r="Q441" s="107">
        <v>0.0</v>
      </c>
      <c r="R441" s="107">
        <v>0.0</v>
      </c>
      <c r="S441" s="107">
        <v>0.0</v>
      </c>
      <c r="T441" s="107">
        <v>0.0</v>
      </c>
      <c r="U441" s="107">
        <v>0.0</v>
      </c>
      <c r="V441" s="107">
        <v>4.0</v>
      </c>
      <c r="W441" s="107">
        <v>0.0</v>
      </c>
      <c r="X441" s="108">
        <v>0.0</v>
      </c>
      <c r="Y441" s="149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ht="15.75" customHeight="1">
      <c r="A442" s="109">
        <v>37.0</v>
      </c>
      <c r="B442" s="110">
        <v>45909.0</v>
      </c>
      <c r="C442" s="111">
        <v>0.8333333333333334</v>
      </c>
      <c r="D442" s="112" t="s">
        <v>58</v>
      </c>
      <c r="E442" s="112" t="s">
        <v>62</v>
      </c>
      <c r="F442" s="101" t="s">
        <v>33</v>
      </c>
      <c r="G442" s="118">
        <v>5.0</v>
      </c>
      <c r="H442" s="104">
        <f t="shared" si="61"/>
        <v>3</v>
      </c>
      <c r="I442" s="105">
        <f t="shared" si="62"/>
        <v>3</v>
      </c>
      <c r="J442" s="105">
        <f t="shared" si="63"/>
        <v>2</v>
      </c>
      <c r="K442" s="106">
        <v>2.0</v>
      </c>
      <c r="L442" s="107">
        <v>0.0</v>
      </c>
      <c r="M442" s="107">
        <v>0.0</v>
      </c>
      <c r="N442" s="107">
        <v>0.0</v>
      </c>
      <c r="O442" s="107">
        <v>0.0</v>
      </c>
      <c r="P442" s="107">
        <v>0.0</v>
      </c>
      <c r="Q442" s="107">
        <v>0.0</v>
      </c>
      <c r="R442" s="107">
        <v>0.0</v>
      </c>
      <c r="S442" s="107">
        <v>0.0</v>
      </c>
      <c r="T442" s="107">
        <v>0.0</v>
      </c>
      <c r="U442" s="107">
        <v>0.0</v>
      </c>
      <c r="V442" s="107">
        <v>1.0</v>
      </c>
      <c r="W442" s="107">
        <v>2.0</v>
      </c>
      <c r="X442" s="108">
        <v>2.0</v>
      </c>
      <c r="Y442" s="149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ht="15.75" customHeight="1">
      <c r="A443" s="109">
        <v>37.0</v>
      </c>
      <c r="B443" s="99">
        <v>45909.0</v>
      </c>
      <c r="C443" s="100">
        <v>0.8333333333333334</v>
      </c>
      <c r="D443" s="101" t="s">
        <v>58</v>
      </c>
      <c r="E443" s="112" t="s">
        <v>62</v>
      </c>
      <c r="F443" s="112" t="s">
        <v>37</v>
      </c>
      <c r="G443" s="107">
        <v>6.0</v>
      </c>
      <c r="H443" s="115">
        <f t="shared" si="61"/>
        <v>3</v>
      </c>
      <c r="I443" s="116">
        <f t="shared" si="62"/>
        <v>3</v>
      </c>
      <c r="J443" s="116">
        <f t="shared" si="63"/>
        <v>2</v>
      </c>
      <c r="K443" s="117">
        <v>2.0</v>
      </c>
      <c r="L443" s="118">
        <v>0.0</v>
      </c>
      <c r="M443" s="118">
        <v>0.0</v>
      </c>
      <c r="N443" s="118">
        <v>0.0</v>
      </c>
      <c r="O443" s="118">
        <v>0.0</v>
      </c>
      <c r="P443" s="118">
        <v>0.0</v>
      </c>
      <c r="Q443" s="118">
        <v>0.0</v>
      </c>
      <c r="R443" s="118">
        <v>0.0</v>
      </c>
      <c r="S443" s="118">
        <v>0.0</v>
      </c>
      <c r="T443" s="118">
        <v>0.0</v>
      </c>
      <c r="U443" s="118">
        <v>0.0</v>
      </c>
      <c r="V443" s="118">
        <v>1.0</v>
      </c>
      <c r="W443" s="118">
        <v>0.0</v>
      </c>
      <c r="X443" s="119">
        <v>1.0</v>
      </c>
      <c r="Y443" s="149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ht="15.75" customHeight="1">
      <c r="A444" s="109">
        <v>37.0</v>
      </c>
      <c r="B444" s="110">
        <v>45909.0</v>
      </c>
      <c r="C444" s="111">
        <v>0.8333333333333334</v>
      </c>
      <c r="D444" s="112" t="s">
        <v>58</v>
      </c>
      <c r="E444" s="112" t="s">
        <v>62</v>
      </c>
      <c r="F444" s="112" t="s">
        <v>34</v>
      </c>
      <c r="G444" s="118">
        <v>7.0</v>
      </c>
      <c r="H444" s="115">
        <f t="shared" si="61"/>
        <v>3</v>
      </c>
      <c r="I444" s="116">
        <f t="shared" si="62"/>
        <v>3</v>
      </c>
      <c r="J444" s="116">
        <f t="shared" si="63"/>
        <v>1</v>
      </c>
      <c r="K444" s="117">
        <v>1.0</v>
      </c>
      <c r="L444" s="118">
        <v>0.0</v>
      </c>
      <c r="M444" s="118">
        <v>0.0</v>
      </c>
      <c r="N444" s="118">
        <v>0.0</v>
      </c>
      <c r="O444" s="118">
        <v>0.0</v>
      </c>
      <c r="P444" s="118">
        <v>1.0</v>
      </c>
      <c r="Q444" s="118">
        <v>0.0</v>
      </c>
      <c r="R444" s="118">
        <v>0.0</v>
      </c>
      <c r="S444" s="118">
        <v>0.0</v>
      </c>
      <c r="T444" s="118">
        <v>0.0</v>
      </c>
      <c r="U444" s="118">
        <v>0.0</v>
      </c>
      <c r="V444" s="118">
        <v>1.0</v>
      </c>
      <c r="W444" s="118">
        <v>1.0</v>
      </c>
      <c r="X444" s="119">
        <v>0.0</v>
      </c>
      <c r="Y444" s="149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ht="15.75" customHeight="1">
      <c r="A445" s="109">
        <v>37.0</v>
      </c>
      <c r="B445" s="99">
        <v>45909.0</v>
      </c>
      <c r="C445" s="100">
        <v>0.8333333333333334</v>
      </c>
      <c r="D445" s="101" t="s">
        <v>58</v>
      </c>
      <c r="E445" s="112" t="s">
        <v>62</v>
      </c>
      <c r="F445" s="133" t="s">
        <v>36</v>
      </c>
      <c r="G445" s="107">
        <v>8.0</v>
      </c>
      <c r="H445" s="134">
        <f t="shared" si="61"/>
        <v>3</v>
      </c>
      <c r="I445" s="135">
        <f t="shared" si="62"/>
        <v>3</v>
      </c>
      <c r="J445" s="135">
        <f t="shared" si="63"/>
        <v>3</v>
      </c>
      <c r="K445" s="136">
        <v>2.0</v>
      </c>
      <c r="L445" s="137">
        <v>1.0</v>
      </c>
      <c r="M445" s="137">
        <v>0.0</v>
      </c>
      <c r="N445" s="137">
        <v>0.0</v>
      </c>
      <c r="O445" s="137">
        <v>0.0</v>
      </c>
      <c r="P445" s="137">
        <v>0.0</v>
      </c>
      <c r="Q445" s="137">
        <v>0.0</v>
      </c>
      <c r="R445" s="137">
        <v>0.0</v>
      </c>
      <c r="S445" s="137">
        <v>0.0</v>
      </c>
      <c r="T445" s="137">
        <v>0.0</v>
      </c>
      <c r="U445" s="137">
        <v>0.0</v>
      </c>
      <c r="V445" s="137">
        <v>0.0</v>
      </c>
      <c r="W445" s="137">
        <v>1.0</v>
      </c>
      <c r="X445" s="138">
        <v>2.0</v>
      </c>
      <c r="Y445" s="149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ht="15.75" customHeight="1">
      <c r="A446" s="109">
        <v>37.0</v>
      </c>
      <c r="B446" s="110">
        <v>45909.0</v>
      </c>
      <c r="C446" s="111">
        <v>0.8333333333333334</v>
      </c>
      <c r="D446" s="112" t="s">
        <v>58</v>
      </c>
      <c r="E446" s="112" t="s">
        <v>62</v>
      </c>
      <c r="F446" s="101" t="s">
        <v>29</v>
      </c>
      <c r="G446" s="118">
        <v>9.0</v>
      </c>
      <c r="H446" s="104">
        <f t="shared" si="61"/>
        <v>3</v>
      </c>
      <c r="I446" s="105">
        <f t="shared" si="62"/>
        <v>3</v>
      </c>
      <c r="J446" s="105">
        <f t="shared" si="63"/>
        <v>2</v>
      </c>
      <c r="K446" s="106">
        <v>1.0</v>
      </c>
      <c r="L446" s="107">
        <v>1.0</v>
      </c>
      <c r="M446" s="107">
        <v>0.0</v>
      </c>
      <c r="N446" s="107">
        <v>0.0</v>
      </c>
      <c r="O446" s="107">
        <v>0.0</v>
      </c>
      <c r="P446" s="107">
        <v>0.0</v>
      </c>
      <c r="Q446" s="107">
        <v>0.0</v>
      </c>
      <c r="R446" s="107">
        <v>0.0</v>
      </c>
      <c r="S446" s="107">
        <v>0.0</v>
      </c>
      <c r="T446" s="107">
        <v>0.0</v>
      </c>
      <c r="U446" s="107">
        <v>0.0</v>
      </c>
      <c r="V446" s="107">
        <v>1.0</v>
      </c>
      <c r="W446" s="107">
        <v>0.0</v>
      </c>
      <c r="X446" s="108">
        <v>2.0</v>
      </c>
      <c r="Y446" s="149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ht="15.75" customHeight="1">
      <c r="A447" s="109">
        <v>37.0</v>
      </c>
      <c r="B447" s="99">
        <v>45909.0</v>
      </c>
      <c r="C447" s="100">
        <v>0.8333333333333334</v>
      </c>
      <c r="D447" s="101" t="s">
        <v>58</v>
      </c>
      <c r="E447" s="112" t="s">
        <v>62</v>
      </c>
      <c r="F447" s="112" t="s">
        <v>38</v>
      </c>
      <c r="G447" s="107">
        <v>10.0</v>
      </c>
      <c r="H447" s="115">
        <f t="shared" si="61"/>
        <v>3</v>
      </c>
      <c r="I447" s="116">
        <f t="shared" si="62"/>
        <v>3</v>
      </c>
      <c r="J447" s="116">
        <f t="shared" si="63"/>
        <v>0</v>
      </c>
      <c r="K447" s="117">
        <v>0.0</v>
      </c>
      <c r="L447" s="118">
        <v>0.0</v>
      </c>
      <c r="M447" s="118">
        <v>0.0</v>
      </c>
      <c r="N447" s="118">
        <v>0.0</v>
      </c>
      <c r="O447" s="118">
        <v>0.0</v>
      </c>
      <c r="P447" s="118">
        <v>0.0</v>
      </c>
      <c r="Q447" s="118">
        <v>0.0</v>
      </c>
      <c r="R447" s="118">
        <v>0.0</v>
      </c>
      <c r="S447" s="118">
        <v>0.0</v>
      </c>
      <c r="T447" s="118">
        <v>1.0</v>
      </c>
      <c r="U447" s="118">
        <v>1.0</v>
      </c>
      <c r="V447" s="118">
        <v>1.0</v>
      </c>
      <c r="W447" s="118">
        <v>0.0</v>
      </c>
      <c r="X447" s="119">
        <v>0.0</v>
      </c>
      <c r="Y447" s="149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ht="15.75" customHeight="1">
      <c r="A448" s="109">
        <v>37.0</v>
      </c>
      <c r="B448" s="110">
        <v>45909.0</v>
      </c>
      <c r="C448" s="100">
        <v>0.8333333333333334</v>
      </c>
      <c r="D448" s="101" t="s">
        <v>58</v>
      </c>
      <c r="E448" s="112" t="s">
        <v>62</v>
      </c>
      <c r="F448" s="112" t="s">
        <v>39</v>
      </c>
      <c r="G448" s="118">
        <v>11.0</v>
      </c>
      <c r="H448" s="115">
        <f t="shared" si="61"/>
        <v>3</v>
      </c>
      <c r="I448" s="116">
        <f t="shared" si="62"/>
        <v>3</v>
      </c>
      <c r="J448" s="116">
        <f t="shared" si="63"/>
        <v>1</v>
      </c>
      <c r="K448" s="117">
        <v>1.0</v>
      </c>
      <c r="L448" s="118">
        <v>0.0</v>
      </c>
      <c r="M448" s="118">
        <v>0.0</v>
      </c>
      <c r="N448" s="118">
        <v>0.0</v>
      </c>
      <c r="O448" s="118">
        <v>0.0</v>
      </c>
      <c r="P448" s="118">
        <v>0.0</v>
      </c>
      <c r="Q448" s="118">
        <v>0.0</v>
      </c>
      <c r="R448" s="118">
        <v>0.0</v>
      </c>
      <c r="S448" s="118">
        <v>0.0</v>
      </c>
      <c r="T448" s="118">
        <v>1.0</v>
      </c>
      <c r="U448" s="118">
        <v>0.0</v>
      </c>
      <c r="V448" s="118">
        <v>1.0</v>
      </c>
      <c r="W448" s="118">
        <v>1.0</v>
      </c>
      <c r="X448" s="119">
        <v>0.0</v>
      </c>
      <c r="Y448" s="149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ht="15.75" customHeight="1">
      <c r="A449" s="109">
        <v>37.0</v>
      </c>
      <c r="B449" s="99">
        <v>45909.0</v>
      </c>
      <c r="C449" s="100">
        <v>0.8333333333333334</v>
      </c>
      <c r="D449" s="101" t="s">
        <v>58</v>
      </c>
      <c r="E449" s="112" t="s">
        <v>62</v>
      </c>
      <c r="F449" s="112" t="s">
        <v>35</v>
      </c>
      <c r="G449" s="107">
        <v>12.0</v>
      </c>
      <c r="H449" s="115">
        <f t="shared" si="61"/>
        <v>2</v>
      </c>
      <c r="I449" s="116">
        <f t="shared" si="62"/>
        <v>2</v>
      </c>
      <c r="J449" s="116">
        <f t="shared" si="63"/>
        <v>1</v>
      </c>
      <c r="K449" s="117">
        <v>1.0</v>
      </c>
      <c r="L449" s="118">
        <v>0.0</v>
      </c>
      <c r="M449" s="118">
        <v>0.0</v>
      </c>
      <c r="N449" s="118">
        <v>0.0</v>
      </c>
      <c r="O449" s="118">
        <v>0.0</v>
      </c>
      <c r="P449" s="118">
        <v>0.0</v>
      </c>
      <c r="Q449" s="118">
        <v>0.0</v>
      </c>
      <c r="R449" s="118">
        <v>0.0</v>
      </c>
      <c r="S449" s="118">
        <v>0.0</v>
      </c>
      <c r="T449" s="118">
        <v>0.0</v>
      </c>
      <c r="U449" s="118">
        <v>0.0</v>
      </c>
      <c r="V449" s="118">
        <v>1.0</v>
      </c>
      <c r="W449" s="118">
        <v>1.0</v>
      </c>
      <c r="X449" s="119">
        <v>0.0</v>
      </c>
      <c r="Y449" s="149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ht="15.75" customHeight="1">
      <c r="A450" s="121">
        <v>37.0</v>
      </c>
      <c r="B450" s="122">
        <v>45909.0</v>
      </c>
      <c r="C450" s="123">
        <v>0.8333333333333334</v>
      </c>
      <c r="D450" s="124" t="s">
        <v>58</v>
      </c>
      <c r="E450" s="124" t="s">
        <v>62</v>
      </c>
      <c r="F450" s="124" t="s">
        <v>44</v>
      </c>
      <c r="G450" s="125"/>
      <c r="H450" s="126">
        <f t="shared" si="61"/>
        <v>40</v>
      </c>
      <c r="I450" s="127">
        <f t="shared" si="62"/>
        <v>40</v>
      </c>
      <c r="J450" s="127">
        <f t="shared" si="63"/>
        <v>24</v>
      </c>
      <c r="K450" s="126">
        <f t="shared" ref="K450:X450" si="85">SUBTOTAL(109,K438:K449)</f>
        <v>20</v>
      </c>
      <c r="L450" s="127">
        <f t="shared" si="85"/>
        <v>4</v>
      </c>
      <c r="M450" s="127">
        <f t="shared" si="85"/>
        <v>0</v>
      </c>
      <c r="N450" s="127">
        <f t="shared" si="85"/>
        <v>0</v>
      </c>
      <c r="O450" s="127">
        <f t="shared" si="85"/>
        <v>0</v>
      </c>
      <c r="P450" s="127">
        <f t="shared" si="85"/>
        <v>1</v>
      </c>
      <c r="Q450" s="127">
        <f t="shared" si="85"/>
        <v>0</v>
      </c>
      <c r="R450" s="127">
        <f t="shared" si="85"/>
        <v>0</v>
      </c>
      <c r="S450" s="127">
        <f t="shared" si="85"/>
        <v>0</v>
      </c>
      <c r="T450" s="127">
        <f t="shared" si="85"/>
        <v>2</v>
      </c>
      <c r="U450" s="127">
        <f t="shared" si="85"/>
        <v>1</v>
      </c>
      <c r="V450" s="127">
        <f t="shared" si="85"/>
        <v>12</v>
      </c>
      <c r="W450" s="127">
        <f t="shared" si="85"/>
        <v>13</v>
      </c>
      <c r="X450" s="128">
        <f t="shared" si="85"/>
        <v>13</v>
      </c>
      <c r="Y450" s="149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ht="15.75" customHeight="1">
      <c r="A451" s="109">
        <v>38.0</v>
      </c>
      <c r="B451" s="110">
        <v>45914.0</v>
      </c>
      <c r="C451" s="111">
        <v>0.8333333333333334</v>
      </c>
      <c r="D451" s="112" t="s">
        <v>54</v>
      </c>
      <c r="E451" s="112" t="s">
        <v>60</v>
      </c>
      <c r="F451" s="112" t="s">
        <v>28</v>
      </c>
      <c r="G451" s="118">
        <v>1.0</v>
      </c>
      <c r="H451" s="115">
        <f t="shared" si="61"/>
        <v>4</v>
      </c>
      <c r="I451" s="116">
        <f t="shared" si="62"/>
        <v>4</v>
      </c>
      <c r="J451" s="116">
        <f t="shared" si="63"/>
        <v>1</v>
      </c>
      <c r="K451" s="117">
        <v>1.0</v>
      </c>
      <c r="L451" s="118">
        <v>0.0</v>
      </c>
      <c r="M451" s="118">
        <v>0.0</v>
      </c>
      <c r="N451" s="118">
        <v>0.0</v>
      </c>
      <c r="O451" s="118">
        <v>0.0</v>
      </c>
      <c r="P451" s="118">
        <v>0.0</v>
      </c>
      <c r="Q451" s="118">
        <v>0.0</v>
      </c>
      <c r="R451" s="118">
        <v>0.0</v>
      </c>
      <c r="S451" s="118">
        <v>0.0</v>
      </c>
      <c r="T451" s="118">
        <v>0.0</v>
      </c>
      <c r="U451" s="118">
        <v>0.0</v>
      </c>
      <c r="V451" s="118">
        <v>3.0</v>
      </c>
      <c r="W451" s="118">
        <v>1.0</v>
      </c>
      <c r="X451" s="119">
        <v>0.0</v>
      </c>
      <c r="Y451" s="149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ht="15.75" customHeight="1">
      <c r="A452" s="109">
        <v>38.0</v>
      </c>
      <c r="B452" s="99">
        <v>45914.0</v>
      </c>
      <c r="C452" s="100">
        <v>0.8333333333333334</v>
      </c>
      <c r="D452" s="101" t="s">
        <v>54</v>
      </c>
      <c r="E452" s="101" t="s">
        <v>60</v>
      </c>
      <c r="F452" s="101" t="s">
        <v>29</v>
      </c>
      <c r="G452" s="107">
        <v>2.0</v>
      </c>
      <c r="H452" s="104">
        <f t="shared" si="61"/>
        <v>4</v>
      </c>
      <c r="I452" s="105">
        <f t="shared" si="62"/>
        <v>4</v>
      </c>
      <c r="J452" s="105">
        <f t="shared" si="63"/>
        <v>4</v>
      </c>
      <c r="K452" s="106">
        <v>4.0</v>
      </c>
      <c r="L452" s="107">
        <v>0.0</v>
      </c>
      <c r="M452" s="107">
        <v>0.0</v>
      </c>
      <c r="N452" s="107">
        <v>0.0</v>
      </c>
      <c r="O452" s="107">
        <v>0.0</v>
      </c>
      <c r="P452" s="107">
        <v>0.0</v>
      </c>
      <c r="Q452" s="107">
        <v>0.0</v>
      </c>
      <c r="R452" s="107">
        <v>0.0</v>
      </c>
      <c r="S452" s="107">
        <v>0.0</v>
      </c>
      <c r="T452" s="107">
        <v>0.0</v>
      </c>
      <c r="U452" s="107">
        <v>0.0</v>
      </c>
      <c r="V452" s="107">
        <v>0.0</v>
      </c>
      <c r="W452" s="107">
        <v>2.0</v>
      </c>
      <c r="X452" s="108">
        <v>0.0</v>
      </c>
      <c r="Y452" s="149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ht="15.75" customHeight="1">
      <c r="A453" s="109">
        <v>38.0</v>
      </c>
      <c r="B453" s="110">
        <v>45914.0</v>
      </c>
      <c r="C453" s="111">
        <v>0.8333333333333334</v>
      </c>
      <c r="D453" s="112" t="s">
        <v>54</v>
      </c>
      <c r="E453" s="112" t="s">
        <v>60</v>
      </c>
      <c r="F453" s="112" t="s">
        <v>27</v>
      </c>
      <c r="G453" s="118">
        <v>3.0</v>
      </c>
      <c r="H453" s="115">
        <f t="shared" si="61"/>
        <v>4</v>
      </c>
      <c r="I453" s="116">
        <f t="shared" si="62"/>
        <v>3</v>
      </c>
      <c r="J453" s="116">
        <f t="shared" si="63"/>
        <v>1</v>
      </c>
      <c r="K453" s="117">
        <v>1.0</v>
      </c>
      <c r="L453" s="118">
        <v>0.0</v>
      </c>
      <c r="M453" s="118">
        <v>0.0</v>
      </c>
      <c r="N453" s="118">
        <v>0.0</v>
      </c>
      <c r="O453" s="118">
        <v>0.0</v>
      </c>
      <c r="P453" s="118">
        <v>0.0</v>
      </c>
      <c r="Q453" s="118">
        <v>0.0</v>
      </c>
      <c r="R453" s="118">
        <v>1.0</v>
      </c>
      <c r="S453" s="118">
        <v>0.0</v>
      </c>
      <c r="T453" s="118">
        <v>0.0</v>
      </c>
      <c r="U453" s="118">
        <v>1.0</v>
      </c>
      <c r="V453" s="118">
        <v>1.0</v>
      </c>
      <c r="W453" s="118">
        <v>1.0</v>
      </c>
      <c r="X453" s="119">
        <v>1.0</v>
      </c>
      <c r="Y453" s="149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ht="15.75" customHeight="1">
      <c r="A454" s="109">
        <v>38.0</v>
      </c>
      <c r="B454" s="99">
        <v>45914.0</v>
      </c>
      <c r="C454" s="100">
        <v>0.8333333333333334</v>
      </c>
      <c r="D454" s="101" t="s">
        <v>54</v>
      </c>
      <c r="E454" s="101" t="s">
        <v>60</v>
      </c>
      <c r="F454" s="101" t="s">
        <v>33</v>
      </c>
      <c r="G454" s="107">
        <v>4.0</v>
      </c>
      <c r="H454" s="104">
        <f t="shared" si="61"/>
        <v>4</v>
      </c>
      <c r="I454" s="105">
        <f t="shared" si="62"/>
        <v>3</v>
      </c>
      <c r="J454" s="105">
        <f t="shared" si="63"/>
        <v>3</v>
      </c>
      <c r="K454" s="106">
        <v>1.0</v>
      </c>
      <c r="L454" s="107">
        <v>1.0</v>
      </c>
      <c r="M454" s="107">
        <v>0.0</v>
      </c>
      <c r="N454" s="107">
        <v>0.0</v>
      </c>
      <c r="O454" s="107">
        <v>1.0</v>
      </c>
      <c r="P454" s="107">
        <v>0.0</v>
      </c>
      <c r="Q454" s="107">
        <v>0.0</v>
      </c>
      <c r="R454" s="107">
        <v>1.0</v>
      </c>
      <c r="S454" s="107">
        <v>0.0</v>
      </c>
      <c r="T454" s="107">
        <v>0.0</v>
      </c>
      <c r="U454" s="107">
        <v>0.0</v>
      </c>
      <c r="V454" s="107">
        <v>0.0</v>
      </c>
      <c r="W454" s="107">
        <v>3.0</v>
      </c>
      <c r="X454" s="108">
        <v>4.0</v>
      </c>
      <c r="Y454" s="149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ht="15.75" customHeight="1">
      <c r="A455" s="109">
        <v>38.0</v>
      </c>
      <c r="B455" s="110">
        <v>45914.0</v>
      </c>
      <c r="C455" s="111">
        <v>0.8333333333333334</v>
      </c>
      <c r="D455" s="112" t="s">
        <v>54</v>
      </c>
      <c r="E455" s="112" t="s">
        <v>60</v>
      </c>
      <c r="F455" s="101" t="s">
        <v>35</v>
      </c>
      <c r="G455" s="118">
        <v>5.0</v>
      </c>
      <c r="H455" s="104">
        <f t="shared" si="61"/>
        <v>4</v>
      </c>
      <c r="I455" s="105">
        <f t="shared" si="62"/>
        <v>4</v>
      </c>
      <c r="J455" s="105">
        <f t="shared" si="63"/>
        <v>0</v>
      </c>
      <c r="K455" s="106">
        <v>0.0</v>
      </c>
      <c r="L455" s="107">
        <v>0.0</v>
      </c>
      <c r="M455" s="107">
        <v>0.0</v>
      </c>
      <c r="N455" s="107">
        <v>0.0</v>
      </c>
      <c r="O455" s="107">
        <v>0.0</v>
      </c>
      <c r="P455" s="107">
        <v>0.0</v>
      </c>
      <c r="Q455" s="107">
        <v>0.0</v>
      </c>
      <c r="R455" s="107">
        <v>0.0</v>
      </c>
      <c r="S455" s="107">
        <v>0.0</v>
      </c>
      <c r="T455" s="107">
        <v>0.0</v>
      </c>
      <c r="U455" s="107">
        <v>0.0</v>
      </c>
      <c r="V455" s="107">
        <v>4.0</v>
      </c>
      <c r="W455" s="107">
        <v>0.0</v>
      </c>
      <c r="X455" s="108">
        <v>0.0</v>
      </c>
      <c r="Y455" s="149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ht="15.75" customHeight="1">
      <c r="A456" s="109">
        <v>38.0</v>
      </c>
      <c r="B456" s="99">
        <v>45914.0</v>
      </c>
      <c r="C456" s="100">
        <v>0.8333333333333334</v>
      </c>
      <c r="D456" s="101" t="s">
        <v>54</v>
      </c>
      <c r="E456" s="112" t="s">
        <v>60</v>
      </c>
      <c r="F456" s="112" t="s">
        <v>34</v>
      </c>
      <c r="G456" s="107">
        <v>6.0</v>
      </c>
      <c r="H456" s="115">
        <f t="shared" si="61"/>
        <v>4</v>
      </c>
      <c r="I456" s="116">
        <f t="shared" si="62"/>
        <v>4</v>
      </c>
      <c r="J456" s="116">
        <f t="shared" si="63"/>
        <v>4</v>
      </c>
      <c r="K456" s="117">
        <v>4.0</v>
      </c>
      <c r="L456" s="118">
        <v>0.0</v>
      </c>
      <c r="M456" s="118">
        <v>0.0</v>
      </c>
      <c r="N456" s="118">
        <v>0.0</v>
      </c>
      <c r="O456" s="118">
        <v>0.0</v>
      </c>
      <c r="P456" s="118">
        <v>0.0</v>
      </c>
      <c r="Q456" s="118">
        <v>0.0</v>
      </c>
      <c r="R456" s="118">
        <v>0.0</v>
      </c>
      <c r="S456" s="118">
        <v>0.0</v>
      </c>
      <c r="T456" s="118">
        <v>0.0</v>
      </c>
      <c r="U456" s="118">
        <v>0.0</v>
      </c>
      <c r="V456" s="118">
        <v>0.0</v>
      </c>
      <c r="W456" s="118">
        <v>2.0</v>
      </c>
      <c r="X456" s="119">
        <v>3.0</v>
      </c>
      <c r="Y456" s="149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ht="15.75" customHeight="1">
      <c r="A457" s="109">
        <v>38.0</v>
      </c>
      <c r="B457" s="110">
        <v>45914.0</v>
      </c>
      <c r="C457" s="111">
        <v>0.8333333333333334</v>
      </c>
      <c r="D457" s="112" t="s">
        <v>54</v>
      </c>
      <c r="E457" s="112" t="s">
        <v>60</v>
      </c>
      <c r="F457" s="112" t="s">
        <v>37</v>
      </c>
      <c r="G457" s="118">
        <v>7.0</v>
      </c>
      <c r="H457" s="115">
        <f t="shared" si="61"/>
        <v>4</v>
      </c>
      <c r="I457" s="116">
        <f t="shared" si="62"/>
        <v>4</v>
      </c>
      <c r="J457" s="116">
        <f t="shared" si="63"/>
        <v>3</v>
      </c>
      <c r="K457" s="117">
        <v>3.0</v>
      </c>
      <c r="L457" s="118">
        <v>0.0</v>
      </c>
      <c r="M457" s="118">
        <v>0.0</v>
      </c>
      <c r="N457" s="118">
        <v>0.0</v>
      </c>
      <c r="O457" s="118">
        <v>0.0</v>
      </c>
      <c r="P457" s="118">
        <v>0.0</v>
      </c>
      <c r="Q457" s="118">
        <v>0.0</v>
      </c>
      <c r="R457" s="118">
        <v>0.0</v>
      </c>
      <c r="S457" s="118">
        <v>0.0</v>
      </c>
      <c r="T457" s="118">
        <v>0.0</v>
      </c>
      <c r="U457" s="118">
        <v>0.0</v>
      </c>
      <c r="V457" s="118">
        <v>1.0</v>
      </c>
      <c r="W457" s="118">
        <v>0.0</v>
      </c>
      <c r="X457" s="119">
        <v>1.0</v>
      </c>
      <c r="Y457" s="149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ht="15.75" customHeight="1">
      <c r="A458" s="109">
        <v>38.0</v>
      </c>
      <c r="B458" s="99">
        <v>45914.0</v>
      </c>
      <c r="C458" s="100">
        <v>0.8333333333333334</v>
      </c>
      <c r="D458" s="101" t="s">
        <v>54</v>
      </c>
      <c r="E458" s="112" t="s">
        <v>60</v>
      </c>
      <c r="F458" s="133" t="s">
        <v>36</v>
      </c>
      <c r="G458" s="107">
        <v>8.0</v>
      </c>
      <c r="H458" s="134">
        <f t="shared" si="61"/>
        <v>4</v>
      </c>
      <c r="I458" s="135">
        <f t="shared" si="62"/>
        <v>4</v>
      </c>
      <c r="J458" s="135">
        <f t="shared" si="63"/>
        <v>0</v>
      </c>
      <c r="K458" s="136">
        <v>0.0</v>
      </c>
      <c r="L458" s="137">
        <v>0.0</v>
      </c>
      <c r="M458" s="137">
        <v>0.0</v>
      </c>
      <c r="N458" s="137">
        <v>0.0</v>
      </c>
      <c r="O458" s="137">
        <v>0.0</v>
      </c>
      <c r="P458" s="137">
        <v>2.0</v>
      </c>
      <c r="Q458" s="137">
        <v>0.0</v>
      </c>
      <c r="R458" s="137">
        <v>0.0</v>
      </c>
      <c r="S458" s="137">
        <v>0.0</v>
      </c>
      <c r="T458" s="137">
        <v>0.0</v>
      </c>
      <c r="U458" s="137">
        <v>1.0</v>
      </c>
      <c r="V458" s="137">
        <v>1.0</v>
      </c>
      <c r="W458" s="137">
        <v>0.0</v>
      </c>
      <c r="X458" s="138">
        <v>1.0</v>
      </c>
      <c r="Y458" s="149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ht="15.75" customHeight="1">
      <c r="A459" s="109">
        <v>38.0</v>
      </c>
      <c r="B459" s="110">
        <v>45914.0</v>
      </c>
      <c r="C459" s="111">
        <v>0.8333333333333334</v>
      </c>
      <c r="D459" s="112" t="s">
        <v>54</v>
      </c>
      <c r="E459" s="112" t="s">
        <v>60</v>
      </c>
      <c r="F459" s="101" t="s">
        <v>39</v>
      </c>
      <c r="G459" s="118">
        <v>9.0</v>
      </c>
      <c r="H459" s="104">
        <f t="shared" si="61"/>
        <v>4</v>
      </c>
      <c r="I459" s="105">
        <f t="shared" si="62"/>
        <v>4</v>
      </c>
      <c r="J459" s="105">
        <f t="shared" si="63"/>
        <v>1</v>
      </c>
      <c r="K459" s="106">
        <v>1.0</v>
      </c>
      <c r="L459" s="107">
        <v>0.0</v>
      </c>
      <c r="M459" s="107">
        <v>0.0</v>
      </c>
      <c r="N459" s="107">
        <v>0.0</v>
      </c>
      <c r="O459" s="107">
        <v>0.0</v>
      </c>
      <c r="P459" s="107">
        <v>0.0</v>
      </c>
      <c r="Q459" s="107">
        <v>0.0</v>
      </c>
      <c r="R459" s="107">
        <v>0.0</v>
      </c>
      <c r="S459" s="107">
        <v>0.0</v>
      </c>
      <c r="T459" s="107">
        <v>0.0</v>
      </c>
      <c r="U459" s="107">
        <v>1.0</v>
      </c>
      <c r="V459" s="107">
        <v>2.0</v>
      </c>
      <c r="W459" s="107">
        <v>0.0</v>
      </c>
      <c r="X459" s="108">
        <v>0.0</v>
      </c>
      <c r="Y459" s="149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ht="15.75" customHeight="1">
      <c r="A460" s="109">
        <v>38.0</v>
      </c>
      <c r="B460" s="99">
        <v>45914.0</v>
      </c>
      <c r="C460" s="100">
        <v>0.8333333333333334</v>
      </c>
      <c r="D460" s="101" t="s">
        <v>54</v>
      </c>
      <c r="E460" s="112" t="s">
        <v>60</v>
      </c>
      <c r="F460" s="112" t="s">
        <v>38</v>
      </c>
      <c r="G460" s="107">
        <v>10.0</v>
      </c>
      <c r="H460" s="115">
        <f t="shared" si="61"/>
        <v>2</v>
      </c>
      <c r="I460" s="116">
        <f t="shared" si="62"/>
        <v>1</v>
      </c>
      <c r="J460" s="116">
        <f t="shared" si="63"/>
        <v>1</v>
      </c>
      <c r="K460" s="117">
        <v>1.0</v>
      </c>
      <c r="L460" s="118">
        <v>0.0</v>
      </c>
      <c r="M460" s="118">
        <v>0.0</v>
      </c>
      <c r="N460" s="118">
        <v>0.0</v>
      </c>
      <c r="O460" s="118">
        <v>0.0</v>
      </c>
      <c r="P460" s="118">
        <v>0.0</v>
      </c>
      <c r="Q460" s="118">
        <v>1.0</v>
      </c>
      <c r="R460" s="118">
        <v>0.0</v>
      </c>
      <c r="S460" s="118">
        <v>0.0</v>
      </c>
      <c r="T460" s="118">
        <v>0.0</v>
      </c>
      <c r="U460" s="118">
        <v>0.0</v>
      </c>
      <c r="V460" s="118">
        <v>0.0</v>
      </c>
      <c r="W460" s="118">
        <v>1.0</v>
      </c>
      <c r="X460" s="119">
        <v>0.0</v>
      </c>
      <c r="Y460" s="149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ht="15.75" customHeight="1">
      <c r="A461" s="121">
        <v>38.0</v>
      </c>
      <c r="B461" s="122">
        <v>45914.0</v>
      </c>
      <c r="C461" s="123">
        <v>0.8333333333333334</v>
      </c>
      <c r="D461" s="124" t="s">
        <v>54</v>
      </c>
      <c r="E461" s="124" t="s">
        <v>60</v>
      </c>
      <c r="F461" s="124" t="s">
        <v>44</v>
      </c>
      <c r="G461" s="125"/>
      <c r="H461" s="126">
        <f t="shared" si="61"/>
        <v>38</v>
      </c>
      <c r="I461" s="127">
        <f t="shared" si="62"/>
        <v>35</v>
      </c>
      <c r="J461" s="127">
        <f t="shared" si="63"/>
        <v>18</v>
      </c>
      <c r="K461" s="126">
        <f t="shared" ref="K461:X461" si="86">SUBTOTAL(109,K451:K460)</f>
        <v>16</v>
      </c>
      <c r="L461" s="127">
        <f t="shared" si="86"/>
        <v>1</v>
      </c>
      <c r="M461" s="127">
        <f t="shared" si="86"/>
        <v>0</v>
      </c>
      <c r="N461" s="127">
        <f t="shared" si="86"/>
        <v>0</v>
      </c>
      <c r="O461" s="127">
        <f t="shared" si="86"/>
        <v>1</v>
      </c>
      <c r="P461" s="127">
        <f t="shared" si="86"/>
        <v>2</v>
      </c>
      <c r="Q461" s="127">
        <f t="shared" si="86"/>
        <v>1</v>
      </c>
      <c r="R461" s="127">
        <f t="shared" si="86"/>
        <v>2</v>
      </c>
      <c r="S461" s="127">
        <f t="shared" si="86"/>
        <v>0</v>
      </c>
      <c r="T461" s="127">
        <f t="shared" si="86"/>
        <v>0</v>
      </c>
      <c r="U461" s="127">
        <f t="shared" si="86"/>
        <v>3</v>
      </c>
      <c r="V461" s="127">
        <f t="shared" si="86"/>
        <v>12</v>
      </c>
      <c r="W461" s="127">
        <f t="shared" si="86"/>
        <v>10</v>
      </c>
      <c r="X461" s="128">
        <f t="shared" si="86"/>
        <v>10</v>
      </c>
      <c r="Y461" s="149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ht="15.75" customHeight="1">
      <c r="A462" s="150"/>
      <c r="B462" s="151"/>
      <c r="C462" s="152"/>
      <c r="F462" s="153"/>
      <c r="G462" s="153"/>
      <c r="H462" s="153"/>
      <c r="I462" s="153"/>
      <c r="J462" s="153"/>
      <c r="W462" s="153"/>
      <c r="X462" s="153"/>
    </row>
  </sheetData>
  <conditionalFormatting sqref="R1:R3 R16:R26 R28:R39 R41:R51 R53:R64 R66:R76 R78:R87 R89:R101 R103:R116 R118:R130 R132:R141 R143:R153 R155:R166 R168:R179 R181:R190 R192:R204 R244 R255:R462">
    <cfRule type="expression" dxfId="6" priority="1">
      <formula>R2&gt;#REF!</formula>
    </cfRule>
  </conditionalFormatting>
  <conditionalFormatting sqref="J1:J462">
    <cfRule type="expression" dxfId="9" priority="2">
      <formula>AND(ISNUMBER(J1),J1&gt;I1)</formula>
    </cfRule>
  </conditionalFormatting>
  <conditionalFormatting sqref="I1:I462">
    <cfRule type="expression" dxfId="9" priority="3">
      <formula>AND(ISNUMBER(I1),I1&gt;H1)</formula>
    </cfRule>
  </conditionalFormatting>
  <dataValidations>
    <dataValidation type="list" allowBlank="1" showErrorMessage="1" sqref="F2:F461">
      <formula1>Players</formula1>
    </dataValidation>
    <dataValidation type="list" allowBlank="1" showErrorMessage="1" sqref="D2:D461">
      <formula1>Diamonds</formula1>
    </dataValidation>
    <dataValidation type="custom" allowBlank="1" showDropDown="1" sqref="C2:C461">
      <formula1>OR(TIMEVALUE(TEXT(C2, "hh:mm:ss"))=C2, AND(ISNUMBER(C2), LEFT(CELL("format", C2))="D"))</formula1>
    </dataValidation>
    <dataValidation type="list" allowBlank="1" showErrorMessage="1" sqref="E2:E461">
      <formula1>Opposition</formula1>
    </dataValidation>
    <dataValidation type="custom" allowBlank="1" showDropDown="1" sqref="B2:B461">
      <formula1>OR(NOT(ISERROR(DATEVALUE(B2))), AND(ISNUMBER(B2), LEFT(CELL("format", B2))="D"))</formula1>
    </dataValidation>
    <dataValidation type="custom" allowBlank="1" showDropDown="1" sqref="A2:A461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6.71"/>
    <col customWidth="1" min="3" max="3" width="48.57"/>
  </cols>
  <sheetData>
    <row r="1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>
      <c r="A2" s="155" t="s">
        <v>73</v>
      </c>
      <c r="B2" s="156" t="s">
        <v>74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</row>
    <row r="3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</row>
    <row r="4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</row>
    <row r="5" ht="22.5" customHeight="1">
      <c r="A5" s="157" t="s">
        <v>75</v>
      </c>
      <c r="B5" s="157" t="s">
        <v>76</v>
      </c>
      <c r="C5" s="157" t="s">
        <v>77</v>
      </c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</row>
    <row r="6" ht="22.5" customHeight="1">
      <c r="A6" s="158" t="s">
        <v>5</v>
      </c>
      <c r="B6" s="158" t="s">
        <v>78</v>
      </c>
      <c r="C6" s="159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</row>
    <row r="7" ht="22.5" customHeight="1">
      <c r="A7" s="158" t="s">
        <v>6</v>
      </c>
      <c r="B7" s="158" t="s">
        <v>79</v>
      </c>
      <c r="C7" s="159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 ht="22.5" customHeight="1">
      <c r="A8" s="158" t="s">
        <v>7</v>
      </c>
      <c r="B8" s="158" t="s">
        <v>80</v>
      </c>
      <c r="C8" s="159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</row>
    <row r="9" ht="22.5" customHeight="1">
      <c r="A9" s="158" t="s">
        <v>8</v>
      </c>
      <c r="B9" s="158" t="s">
        <v>81</v>
      </c>
      <c r="C9" s="159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</row>
    <row r="10" ht="22.5" customHeight="1">
      <c r="A10" s="158" t="s">
        <v>3</v>
      </c>
      <c r="B10" s="158" t="s">
        <v>82</v>
      </c>
      <c r="C10" s="158" t="s">
        <v>83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</row>
    <row r="11" ht="22.5" customHeight="1">
      <c r="A11" s="158" t="s">
        <v>21</v>
      </c>
      <c r="B11" s="158" t="s">
        <v>84</v>
      </c>
      <c r="C11" s="158" t="s">
        <v>85</v>
      </c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</row>
    <row r="12" ht="22.5" customHeight="1">
      <c r="A12" s="158" t="s">
        <v>11</v>
      </c>
      <c r="B12" s="158" t="s">
        <v>86</v>
      </c>
      <c r="C12" s="159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</row>
    <row r="13" ht="22.5" customHeight="1">
      <c r="A13" s="158" t="s">
        <v>53</v>
      </c>
      <c r="B13" s="158" t="s">
        <v>87</v>
      </c>
      <c r="C13" s="159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</row>
    <row r="14" ht="22.5" customHeight="1">
      <c r="A14" s="158" t="s">
        <v>10</v>
      </c>
      <c r="B14" s="158" t="s">
        <v>88</v>
      </c>
      <c r="C14" s="159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</row>
    <row r="15" ht="22.5" customHeight="1">
      <c r="A15" s="158" t="s">
        <v>17</v>
      </c>
      <c r="B15" s="158" t="s">
        <v>89</v>
      </c>
      <c r="C15" s="159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</row>
    <row r="16" ht="22.5" customHeight="1">
      <c r="A16" s="158" t="s">
        <v>16</v>
      </c>
      <c r="B16" s="158" t="s">
        <v>90</v>
      </c>
      <c r="C16" s="159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</row>
    <row r="17" ht="22.5" customHeight="1">
      <c r="A17" s="158" t="s">
        <v>4</v>
      </c>
      <c r="B17" s="158" t="s">
        <v>91</v>
      </c>
      <c r="C17" s="158" t="s">
        <v>92</v>
      </c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</row>
    <row r="18" ht="22.5" customHeight="1">
      <c r="A18" s="158" t="s">
        <v>9</v>
      </c>
      <c r="B18" s="158" t="s">
        <v>93</v>
      </c>
      <c r="C18" s="159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</row>
    <row r="19" ht="22.5" customHeight="1">
      <c r="A19" s="158" t="s">
        <v>13</v>
      </c>
      <c r="B19" s="158" t="s">
        <v>94</v>
      </c>
      <c r="C19" s="159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</row>
    <row r="20" ht="22.5" customHeight="1">
      <c r="A20" s="158" t="s">
        <v>14</v>
      </c>
      <c r="B20" s="158" t="s">
        <v>95</v>
      </c>
      <c r="C20" s="159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</row>
    <row r="21" ht="22.5" customHeight="1">
      <c r="A21" s="158" t="s">
        <v>18</v>
      </c>
      <c r="B21" s="158" t="s">
        <v>96</v>
      </c>
      <c r="C21" s="158" t="s">
        <v>97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</row>
    <row r="22" ht="22.5" customHeight="1">
      <c r="A22" s="158" t="s">
        <v>22</v>
      </c>
      <c r="B22" s="158" t="s">
        <v>98</v>
      </c>
      <c r="C22" s="158" t="s">
        <v>99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</row>
    <row r="23" ht="22.5" customHeight="1">
      <c r="A23" s="158" t="s">
        <v>24</v>
      </c>
      <c r="B23" s="158" t="s">
        <v>100</v>
      </c>
      <c r="C23" s="158" t="s">
        <v>101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</row>
    <row r="24" ht="22.5" customHeight="1">
      <c r="A24" s="158" t="s">
        <v>2</v>
      </c>
      <c r="B24" s="158" t="s">
        <v>102</v>
      </c>
      <c r="C24" s="158" t="s">
        <v>103</v>
      </c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 ht="22.5" customHeight="1">
      <c r="A25" s="158" t="s">
        <v>19</v>
      </c>
      <c r="B25" s="158" t="s">
        <v>104</v>
      </c>
      <c r="C25" s="159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</row>
    <row r="26" ht="22.5" customHeight="1">
      <c r="A26" s="158" t="s">
        <v>20</v>
      </c>
      <c r="B26" s="158" t="s">
        <v>105</v>
      </c>
      <c r="C26" s="159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</row>
    <row r="27" ht="22.5" customHeight="1">
      <c r="A27" s="158" t="s">
        <v>12</v>
      </c>
      <c r="B27" s="158" t="s">
        <v>106</v>
      </c>
      <c r="C27" s="159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</row>
    <row r="28" ht="22.5" customHeight="1">
      <c r="A28" s="158" t="s">
        <v>23</v>
      </c>
      <c r="B28" s="158" t="s">
        <v>107</v>
      </c>
      <c r="C28" s="158" t="s">
        <v>108</v>
      </c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</row>
    <row r="29" ht="22.5" customHeight="1">
      <c r="A29" s="158" t="s">
        <v>15</v>
      </c>
      <c r="B29" s="158" t="s">
        <v>109</v>
      </c>
      <c r="C29" s="158" t="s">
        <v>110</v>
      </c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</row>
    <row r="30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</row>
    <row r="3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</row>
    <row r="32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</row>
    <row r="33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</row>
    <row r="34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</row>
    <row r="35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</row>
    <row r="36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</row>
    <row r="37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</row>
    <row r="38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</row>
    <row r="39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</row>
    <row r="40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</row>
    <row r="4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</row>
    <row r="42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</row>
    <row r="43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</row>
    <row r="44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</row>
    <row r="45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</row>
    <row r="46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</row>
    <row r="47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</row>
    <row r="48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</row>
    <row r="49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  <row r="54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</row>
    <row r="55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</row>
    <row r="56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</row>
    <row r="57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</row>
    <row r="58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</row>
    <row r="59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</row>
    <row r="60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</row>
    <row r="6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</row>
    <row r="62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</row>
    <row r="63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</row>
    <row r="64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</row>
    <row r="65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</row>
    <row r="66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</row>
    <row r="67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</row>
    <row r="68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</row>
    <row r="69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</row>
    <row r="70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</row>
    <row r="7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</row>
    <row r="72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</row>
    <row r="73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</row>
    <row r="74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</row>
    <row r="75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</row>
    <row r="76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</row>
    <row r="77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</row>
    <row r="78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</row>
    <row r="79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</row>
    <row r="80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</row>
    <row r="8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</row>
    <row r="82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</row>
    <row r="83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</row>
    <row r="84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</row>
    <row r="85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</row>
    <row r="86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</row>
    <row r="87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</row>
    <row r="88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</row>
    <row r="89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</row>
    <row r="90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</row>
    <row r="9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</row>
    <row r="92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</row>
    <row r="93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</row>
    <row r="94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</row>
    <row r="95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</row>
    <row r="96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</row>
    <row r="97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</row>
    <row r="98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</row>
    <row r="99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</row>
    <row r="100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</row>
    <row r="10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</row>
    <row r="102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</row>
    <row r="103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</row>
    <row r="104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</row>
    <row r="105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</row>
    <row r="106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</row>
    <row r="107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</row>
    <row r="108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</row>
    <row r="109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</row>
    <row r="110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</row>
    <row r="11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</row>
    <row r="112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</row>
    <row r="113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</row>
    <row r="114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</row>
    <row r="115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</row>
    <row r="116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</row>
    <row r="117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</row>
    <row r="118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</row>
    <row r="119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</row>
    <row r="120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</row>
    <row r="12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</row>
    <row r="122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</row>
    <row r="123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</row>
    <row r="124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</row>
    <row r="125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</row>
    <row r="126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</row>
    <row r="127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</row>
    <row r="128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</row>
    <row r="129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</row>
    <row r="130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</row>
    <row r="13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</row>
    <row r="132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</row>
    <row r="133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</row>
    <row r="134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</row>
    <row r="135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</row>
    <row r="136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</row>
    <row r="137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</row>
    <row r="138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</row>
    <row r="139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</row>
    <row r="140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</row>
    <row r="14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</row>
    <row r="142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</row>
    <row r="143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</row>
    <row r="144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</row>
    <row r="145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</row>
    <row r="146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</row>
    <row r="147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</row>
    <row r="148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</row>
    <row r="149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</row>
    <row r="150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</row>
    <row r="15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</row>
    <row r="152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</row>
    <row r="153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</row>
    <row r="154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</row>
    <row r="155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</row>
    <row r="156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</row>
    <row r="157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</row>
    <row r="158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</row>
    <row r="159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</row>
    <row r="160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</row>
    <row r="16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</row>
    <row r="162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</row>
    <row r="163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</row>
    <row r="164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</row>
    <row r="165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</row>
    <row r="166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</row>
    <row r="167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</row>
    <row r="168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</row>
    <row r="169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</row>
    <row r="170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</row>
    <row r="17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</row>
    <row r="172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</row>
    <row r="173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</row>
    <row r="174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</row>
    <row r="175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</row>
    <row r="176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</row>
    <row r="177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</row>
    <row r="178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</row>
    <row r="179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</row>
    <row r="180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</row>
    <row r="18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</row>
    <row r="182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</row>
    <row r="183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</row>
    <row r="184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</row>
    <row r="185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</row>
    <row r="186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</row>
    <row r="187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</row>
    <row r="188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</row>
    <row r="189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</row>
    <row r="190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</row>
    <row r="19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</row>
    <row r="192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</row>
    <row r="193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</row>
    <row r="194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</row>
    <row r="195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</row>
    <row r="196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</row>
    <row r="197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</row>
    <row r="198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</row>
    <row r="199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</row>
    <row r="200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</row>
    <row r="20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</row>
    <row r="202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</row>
    <row r="203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</row>
    <row r="204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</row>
    <row r="205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</row>
    <row r="206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</row>
    <row r="207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</row>
    <row r="208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</row>
    <row r="209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</row>
    <row r="210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</row>
    <row r="21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</row>
    <row r="212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</row>
    <row r="213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</row>
    <row r="214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</row>
    <row r="215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</row>
    <row r="216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</row>
    <row r="217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</row>
    <row r="218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</row>
    <row r="219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</row>
    <row r="220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</row>
    <row r="22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</row>
    <row r="222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</row>
    <row r="223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</row>
    <row r="224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</row>
    <row r="225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</row>
    <row r="226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</row>
    <row r="227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</row>
    <row r="228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</row>
    <row r="229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</row>
    <row r="230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</row>
    <row r="23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</row>
    <row r="232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</row>
    <row r="233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</row>
    <row r="234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</row>
    <row r="235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</row>
    <row r="236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</row>
    <row r="237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</row>
    <row r="238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</row>
    <row r="239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</row>
    <row r="240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</row>
    <row r="24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</row>
    <row r="242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</row>
    <row r="243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</row>
    <row r="244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</row>
    <row r="245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</row>
    <row r="246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</row>
    <row r="247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</row>
    <row r="248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</row>
    <row r="249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</row>
    <row r="250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</row>
    <row r="25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</row>
    <row r="252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</row>
    <row r="253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</row>
    <row r="254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</row>
    <row r="255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</row>
    <row r="256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</row>
    <row r="257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</row>
    <row r="258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</row>
    <row r="259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</row>
    <row r="260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</row>
    <row r="26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</row>
    <row r="262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</row>
    <row r="263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</row>
    <row r="264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</row>
    <row r="265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</row>
    <row r="266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</row>
    <row r="267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</row>
    <row r="268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</row>
    <row r="269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</row>
    <row r="270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</row>
    <row r="27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</row>
    <row r="272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</row>
    <row r="273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</row>
    <row r="274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</row>
    <row r="275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</row>
    <row r="276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</row>
    <row r="277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</row>
    <row r="278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</row>
    <row r="279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</row>
    <row r="280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</row>
    <row r="28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</row>
    <row r="282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</row>
    <row r="283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</row>
    <row r="284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</row>
    <row r="285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</row>
    <row r="286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</row>
    <row r="287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</row>
    <row r="288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</row>
    <row r="289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</row>
    <row r="290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</row>
    <row r="29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</row>
    <row r="292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</row>
    <row r="293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</row>
    <row r="294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</row>
    <row r="295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</row>
    <row r="296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</row>
    <row r="297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</row>
    <row r="298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</row>
    <row r="299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</row>
    <row r="300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</row>
    <row r="30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</row>
    <row r="302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</row>
    <row r="303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</row>
    <row r="304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</row>
    <row r="305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</row>
    <row r="306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</row>
    <row r="307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</row>
    <row r="308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</row>
    <row r="309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</row>
    <row r="310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</row>
    <row r="31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</row>
    <row r="312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</row>
    <row r="313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</row>
    <row r="314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</row>
    <row r="315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</row>
    <row r="316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</row>
    <row r="317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</row>
    <row r="318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</row>
    <row r="319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</row>
    <row r="320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</row>
    <row r="32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</row>
    <row r="322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</row>
    <row r="323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</row>
    <row r="324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</row>
    <row r="325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</row>
    <row r="326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</row>
    <row r="327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</row>
    <row r="328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</row>
    <row r="329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</row>
    <row r="330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</row>
    <row r="33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</row>
    <row r="332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</row>
    <row r="333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</row>
    <row r="334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</row>
    <row r="335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</row>
    <row r="336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</row>
    <row r="337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</row>
    <row r="338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</row>
    <row r="339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</row>
    <row r="340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</row>
    <row r="34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</row>
    <row r="342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</row>
    <row r="343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</row>
    <row r="344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</row>
    <row r="345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</row>
    <row r="346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</row>
    <row r="347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</row>
    <row r="348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</row>
    <row r="349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</row>
    <row r="350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</row>
    <row r="35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</row>
    <row r="352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</row>
    <row r="353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</row>
    <row r="354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</row>
    <row r="355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</row>
    <row r="356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</row>
    <row r="357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</row>
    <row r="358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</row>
    <row r="359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</row>
    <row r="360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</row>
    <row r="36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</row>
    <row r="362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</row>
    <row r="363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</row>
    <row r="364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</row>
    <row r="365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</row>
    <row r="366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</row>
    <row r="367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</row>
    <row r="368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</row>
    <row r="369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</row>
    <row r="370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</row>
    <row r="37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</row>
    <row r="372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</row>
    <row r="373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</row>
    <row r="374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</row>
    <row r="375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</row>
    <row r="376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</row>
    <row r="377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</row>
    <row r="378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</row>
    <row r="379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</row>
    <row r="380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</row>
    <row r="38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</row>
    <row r="382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</row>
    <row r="383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</row>
    <row r="384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</row>
    <row r="385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</row>
    <row r="386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</row>
    <row r="387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</row>
    <row r="388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</row>
    <row r="389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</row>
    <row r="390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</row>
    <row r="39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</row>
    <row r="392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</row>
    <row r="393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</row>
    <row r="394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</row>
    <row r="395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</row>
    <row r="396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</row>
    <row r="397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</row>
    <row r="398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</row>
    <row r="399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</row>
    <row r="400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</row>
    <row r="40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</row>
    <row r="402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</row>
    <row r="403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</row>
    <row r="404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</row>
    <row r="405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</row>
    <row r="406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</row>
    <row r="407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</row>
    <row r="408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</row>
    <row r="409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</row>
    <row r="410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</row>
    <row r="41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</row>
    <row r="412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</row>
    <row r="413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</row>
    <row r="414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</row>
    <row r="415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</row>
    <row r="416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</row>
    <row r="417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</row>
    <row r="418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</row>
    <row r="419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</row>
    <row r="420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</row>
    <row r="42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</row>
    <row r="422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</row>
    <row r="423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</row>
    <row r="424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</row>
    <row r="425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</row>
    <row r="426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</row>
    <row r="427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</row>
    <row r="428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</row>
    <row r="429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</row>
    <row r="430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</row>
    <row r="43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</row>
    <row r="432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</row>
    <row r="433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</row>
    <row r="434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</row>
    <row r="435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</row>
    <row r="436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</row>
    <row r="437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</row>
    <row r="438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</row>
    <row r="439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</row>
    <row r="440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</row>
    <row r="44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</row>
    <row r="442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</row>
    <row r="443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</row>
    <row r="444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</row>
    <row r="445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</row>
    <row r="446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</row>
    <row r="447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</row>
    <row r="448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</row>
    <row r="449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</row>
    <row r="450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</row>
    <row r="45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</row>
    <row r="452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</row>
    <row r="453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</row>
    <row r="454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</row>
    <row r="455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</row>
    <row r="456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</row>
    <row r="457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</row>
    <row r="458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</row>
    <row r="459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</row>
    <row r="460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</row>
    <row r="46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</row>
    <row r="462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</row>
    <row r="463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</row>
    <row r="464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</row>
    <row r="465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</row>
    <row r="466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</row>
    <row r="467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</row>
    <row r="468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</row>
    <row r="469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</row>
    <row r="470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</row>
    <row r="47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</row>
    <row r="472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</row>
    <row r="473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</row>
    <row r="474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</row>
    <row r="475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</row>
    <row r="476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</row>
    <row r="477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</row>
    <row r="478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</row>
    <row r="479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</row>
    <row r="480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</row>
    <row r="48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</row>
    <row r="482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</row>
    <row r="483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</row>
    <row r="484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</row>
    <row r="485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</row>
    <row r="486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</row>
    <row r="487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</row>
    <row r="488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</row>
    <row r="489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</row>
    <row r="490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</row>
    <row r="49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</row>
    <row r="492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</row>
    <row r="493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</row>
    <row r="494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</row>
    <row r="495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</row>
    <row r="496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</row>
    <row r="497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</row>
    <row r="498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</row>
    <row r="499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</row>
    <row r="500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</row>
    <row r="50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</row>
    <row r="502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</row>
    <row r="503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</row>
    <row r="504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</row>
    <row r="505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</row>
    <row r="506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</row>
    <row r="507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</row>
    <row r="508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</row>
    <row r="509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</row>
    <row r="510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</row>
    <row r="51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</row>
    <row r="512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</row>
    <row r="513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</row>
    <row r="514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</row>
    <row r="515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</row>
    <row r="516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</row>
    <row r="517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</row>
    <row r="518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</row>
    <row r="519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</row>
    <row r="520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</row>
    <row r="52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</row>
    <row r="522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</row>
    <row r="523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</row>
    <row r="524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</row>
    <row r="525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</row>
    <row r="526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</row>
    <row r="527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</row>
    <row r="528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</row>
    <row r="529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</row>
    <row r="530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</row>
    <row r="53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</row>
    <row r="532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</row>
    <row r="533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</row>
    <row r="534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</row>
    <row r="535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</row>
    <row r="536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</row>
    <row r="537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</row>
    <row r="538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</row>
    <row r="539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</row>
    <row r="540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</row>
    <row r="54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</row>
    <row r="542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</row>
    <row r="543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</row>
    <row r="544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</row>
    <row r="545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</row>
    <row r="546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</row>
    <row r="547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</row>
    <row r="548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</row>
    <row r="549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</row>
    <row r="550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</row>
    <row r="55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</row>
    <row r="552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</row>
    <row r="553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</row>
    <row r="554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</row>
    <row r="555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</row>
    <row r="556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</row>
    <row r="557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</row>
    <row r="558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</row>
    <row r="559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</row>
    <row r="560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</row>
    <row r="56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</row>
    <row r="562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</row>
    <row r="563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</row>
    <row r="564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</row>
    <row r="565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</row>
    <row r="566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</row>
    <row r="567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</row>
    <row r="568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</row>
    <row r="569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</row>
    <row r="570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</row>
    <row r="57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</row>
    <row r="572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</row>
    <row r="573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</row>
    <row r="574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</row>
    <row r="575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</row>
    <row r="576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</row>
    <row r="577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</row>
    <row r="578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</row>
    <row r="579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</row>
    <row r="580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</row>
    <row r="58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</row>
    <row r="582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</row>
    <row r="583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</row>
    <row r="584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</row>
    <row r="585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</row>
    <row r="586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</row>
    <row r="587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</row>
    <row r="588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</row>
    <row r="589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</row>
    <row r="590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</row>
    <row r="59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</row>
    <row r="592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</row>
    <row r="593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</row>
    <row r="594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</row>
    <row r="595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</row>
    <row r="596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</row>
    <row r="597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</row>
    <row r="598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</row>
    <row r="599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</row>
    <row r="600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</row>
    <row r="60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</row>
    <row r="602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</row>
    <row r="603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</row>
    <row r="604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</row>
    <row r="605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</row>
    <row r="606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</row>
    <row r="607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</row>
    <row r="608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</row>
    <row r="609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</row>
    <row r="610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</row>
    <row r="61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</row>
    <row r="612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</row>
    <row r="613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</row>
    <row r="614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</row>
    <row r="615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</row>
    <row r="616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</row>
    <row r="617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</row>
    <row r="618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</row>
    <row r="619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</row>
    <row r="620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</row>
    <row r="62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</row>
    <row r="622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</row>
    <row r="623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</row>
    <row r="624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</row>
    <row r="625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</row>
    <row r="626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</row>
    <row r="627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</row>
    <row r="628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</row>
    <row r="629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</row>
    <row r="630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</row>
    <row r="63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</row>
    <row r="632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</row>
    <row r="633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</row>
    <row r="634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</row>
    <row r="635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</row>
    <row r="636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</row>
    <row r="637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</row>
    <row r="638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</row>
    <row r="639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</row>
    <row r="640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</row>
    <row r="64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</row>
    <row r="642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</row>
    <row r="643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</row>
    <row r="644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</row>
    <row r="645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</row>
    <row r="646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</row>
    <row r="647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</row>
    <row r="648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</row>
    <row r="649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</row>
    <row r="650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</row>
    <row r="65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</row>
    <row r="652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</row>
    <row r="653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</row>
    <row r="654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</row>
    <row r="655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</row>
    <row r="656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</row>
    <row r="657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</row>
    <row r="658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</row>
    <row r="659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</row>
    <row r="660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</row>
    <row r="66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</row>
    <row r="662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</row>
    <row r="663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</row>
    <row r="664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</row>
    <row r="665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</row>
    <row r="666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</row>
    <row r="667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</row>
    <row r="668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</row>
    <row r="669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</row>
    <row r="670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</row>
    <row r="67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</row>
    <row r="672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</row>
    <row r="673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</row>
    <row r="674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</row>
    <row r="675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</row>
    <row r="676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</row>
    <row r="677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</row>
    <row r="678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</row>
    <row r="679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</row>
    <row r="680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</row>
    <row r="68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</row>
    <row r="682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</row>
    <row r="683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</row>
    <row r="684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</row>
    <row r="685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</row>
    <row r="686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</row>
    <row r="687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</row>
    <row r="688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</row>
    <row r="689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</row>
    <row r="690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</row>
    <row r="69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</row>
    <row r="692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</row>
    <row r="693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</row>
    <row r="694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</row>
    <row r="695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</row>
    <row r="696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</row>
    <row r="697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</row>
    <row r="698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</row>
    <row r="699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</row>
    <row r="700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</row>
    <row r="70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</row>
    <row r="702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</row>
    <row r="703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</row>
    <row r="704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</row>
    <row r="705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</row>
    <row r="706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</row>
    <row r="707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</row>
    <row r="708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</row>
    <row r="709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</row>
    <row r="710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</row>
    <row r="71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</row>
    <row r="712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</row>
    <row r="713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</row>
    <row r="714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</row>
    <row r="715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</row>
    <row r="716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</row>
    <row r="717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</row>
    <row r="718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</row>
    <row r="719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</row>
    <row r="720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</row>
    <row r="72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</row>
    <row r="722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</row>
    <row r="723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</row>
    <row r="724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</row>
    <row r="725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</row>
    <row r="726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</row>
    <row r="727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</row>
    <row r="728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</row>
    <row r="729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</row>
    <row r="730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</row>
    <row r="73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</row>
    <row r="732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</row>
    <row r="733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</row>
    <row r="734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</row>
    <row r="735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</row>
    <row r="736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</row>
    <row r="737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</row>
    <row r="738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</row>
    <row r="739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</row>
    <row r="740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</row>
    <row r="74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</row>
    <row r="742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</row>
    <row r="743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</row>
    <row r="744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</row>
    <row r="745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</row>
    <row r="746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</row>
    <row r="747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</row>
    <row r="748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</row>
    <row r="749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</row>
    <row r="750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</row>
    <row r="75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</row>
    <row r="752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</row>
    <row r="753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</row>
    <row r="754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</row>
    <row r="755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</row>
    <row r="756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</row>
    <row r="757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</row>
    <row r="758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</row>
    <row r="759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</row>
    <row r="760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</row>
    <row r="76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</row>
    <row r="762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</row>
    <row r="763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</row>
    <row r="764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</row>
    <row r="765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</row>
    <row r="766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</row>
    <row r="767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</row>
    <row r="768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</row>
    <row r="769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</row>
    <row r="770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</row>
    <row r="77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</row>
    <row r="772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</row>
    <row r="773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</row>
    <row r="774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</row>
    <row r="775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</row>
    <row r="776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</row>
    <row r="777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</row>
    <row r="778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</row>
    <row r="779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</row>
    <row r="780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</row>
    <row r="78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</row>
    <row r="782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</row>
    <row r="783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</row>
    <row r="784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</row>
    <row r="785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</row>
    <row r="786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</row>
    <row r="787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</row>
    <row r="788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</row>
    <row r="789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</row>
    <row r="790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</row>
    <row r="79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</row>
    <row r="792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</row>
    <row r="793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</row>
    <row r="794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</row>
    <row r="795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</row>
    <row r="796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</row>
    <row r="797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</row>
    <row r="798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</row>
    <row r="799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</row>
    <row r="800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</row>
    <row r="80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</row>
    <row r="802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</row>
    <row r="803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</row>
    <row r="804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</row>
    <row r="805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</row>
    <row r="806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</row>
    <row r="807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</row>
    <row r="808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</row>
    <row r="809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</row>
    <row r="810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</row>
    <row r="81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</row>
    <row r="812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</row>
    <row r="813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</row>
    <row r="814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</row>
    <row r="815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</row>
    <row r="816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</row>
    <row r="817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</row>
    <row r="818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</row>
    <row r="819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</row>
    <row r="820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</row>
    <row r="82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</row>
    <row r="822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</row>
    <row r="823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</row>
    <row r="824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</row>
    <row r="825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</row>
    <row r="826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</row>
    <row r="827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</row>
    <row r="828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</row>
    <row r="829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</row>
    <row r="830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</row>
    <row r="83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</row>
    <row r="832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</row>
    <row r="833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</row>
    <row r="834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</row>
    <row r="835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</row>
    <row r="836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</row>
    <row r="837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</row>
    <row r="838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</row>
    <row r="839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</row>
    <row r="840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</row>
    <row r="84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</row>
    <row r="842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</row>
    <row r="843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</row>
    <row r="844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</row>
    <row r="845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</row>
    <row r="846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</row>
    <row r="847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</row>
    <row r="848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</row>
    <row r="849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</row>
    <row r="850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</row>
    <row r="85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</row>
    <row r="852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</row>
    <row r="853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</row>
    <row r="854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</row>
    <row r="855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</row>
    <row r="856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</row>
    <row r="857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</row>
    <row r="858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</row>
    <row r="859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</row>
    <row r="860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</row>
    <row r="86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</row>
    <row r="862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</row>
    <row r="863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</row>
    <row r="864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</row>
    <row r="865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</row>
    <row r="866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</row>
    <row r="867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</row>
    <row r="868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</row>
    <row r="869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</row>
    <row r="870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</row>
    <row r="87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</row>
    <row r="872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</row>
    <row r="873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</row>
    <row r="874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</row>
    <row r="875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</row>
    <row r="876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</row>
    <row r="877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</row>
    <row r="878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</row>
    <row r="879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</row>
    <row r="880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</row>
    <row r="88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</row>
    <row r="882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</row>
    <row r="883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</row>
    <row r="884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</row>
    <row r="885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</row>
    <row r="886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</row>
    <row r="887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</row>
    <row r="888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</row>
    <row r="889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</row>
    <row r="890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</row>
    <row r="89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</row>
    <row r="892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</row>
    <row r="893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</row>
    <row r="894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</row>
    <row r="895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</row>
    <row r="896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</row>
    <row r="897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</row>
    <row r="898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</row>
    <row r="899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</row>
    <row r="900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</row>
    <row r="90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</row>
    <row r="902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</row>
    <row r="903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</row>
    <row r="904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</row>
    <row r="905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</row>
    <row r="906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</row>
    <row r="907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</row>
    <row r="908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</row>
    <row r="909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</row>
    <row r="910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</row>
    <row r="91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</row>
    <row r="912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</row>
    <row r="913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</row>
    <row r="914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</row>
    <row r="915">
      <c r="A915" s="154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</row>
    <row r="916">
      <c r="A916" s="154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</row>
    <row r="917">
      <c r="A917" s="154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</row>
    <row r="918">
      <c r="A918" s="154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</row>
    <row r="919">
      <c r="A919" s="154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</row>
    <row r="920">
      <c r="A920" s="154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</row>
    <row r="921">
      <c r="A921" s="154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</row>
    <row r="922">
      <c r="A922" s="154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</row>
    <row r="923">
      <c r="A923" s="154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</row>
    <row r="924">
      <c r="A924" s="154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</row>
    <row r="925">
      <c r="A925" s="154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</row>
    <row r="926">
      <c r="A926" s="154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</row>
    <row r="927">
      <c r="A927" s="154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</row>
    <row r="928">
      <c r="A928" s="154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</row>
    <row r="929">
      <c r="A929" s="154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</row>
    <row r="930">
      <c r="A930" s="154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</row>
    <row r="931">
      <c r="A931" s="154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</row>
    <row r="932">
      <c r="A932" s="154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</row>
    <row r="933">
      <c r="A933" s="154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</row>
    <row r="934">
      <c r="A934" s="154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</row>
    <row r="935">
      <c r="A935" s="154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</row>
    <row r="936">
      <c r="A936" s="154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</row>
    <row r="937">
      <c r="A937" s="154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</row>
    <row r="938">
      <c r="A938" s="154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</row>
    <row r="939">
      <c r="A939" s="154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</row>
    <row r="940">
      <c r="A940" s="154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</row>
    <row r="941">
      <c r="A941" s="154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</row>
    <row r="942">
      <c r="A942" s="154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</row>
    <row r="943">
      <c r="A943" s="154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</row>
    <row r="944">
      <c r="A944" s="154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</row>
    <row r="945">
      <c r="A945" s="154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</row>
    <row r="946">
      <c r="A946" s="154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</row>
    <row r="947">
      <c r="A947" s="154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</row>
    <row r="948">
      <c r="A948" s="154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</row>
    <row r="949">
      <c r="A949" s="154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</row>
    <row r="950">
      <c r="A950" s="154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</row>
    <row r="951">
      <c r="A951" s="154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</row>
    <row r="952">
      <c r="A952" s="154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</row>
    <row r="953">
      <c r="A953" s="154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</row>
    <row r="954">
      <c r="A954" s="154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</row>
    <row r="955">
      <c r="A955" s="154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</row>
    <row r="956">
      <c r="A956" s="154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</row>
    <row r="957">
      <c r="A957" s="154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</row>
    <row r="958">
      <c r="A958" s="154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</row>
    <row r="959">
      <c r="A959" s="154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</row>
    <row r="960">
      <c r="A960" s="154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</row>
    <row r="961">
      <c r="A961" s="154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</row>
    <row r="962">
      <c r="A962" s="154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</row>
    <row r="963">
      <c r="A963" s="154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</row>
    <row r="964">
      <c r="A964" s="154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</row>
    <row r="965">
      <c r="A965" s="154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</row>
    <row r="966">
      <c r="A966" s="154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</row>
    <row r="967">
      <c r="A967" s="154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</row>
    <row r="968">
      <c r="A968" s="154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</row>
    <row r="969">
      <c r="A969" s="154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</row>
    <row r="970">
      <c r="A970" s="154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</row>
    <row r="971">
      <c r="A971" s="154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</row>
    <row r="972">
      <c r="A972" s="154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</row>
    <row r="973">
      <c r="A973" s="154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</row>
    <row r="974">
      <c r="A974" s="154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</row>
    <row r="975">
      <c r="A975" s="154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</row>
    <row r="976">
      <c r="A976" s="154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</row>
    <row r="977">
      <c r="A977" s="154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</row>
    <row r="978">
      <c r="A978" s="154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</row>
    <row r="979">
      <c r="A979" s="154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</row>
    <row r="980">
      <c r="A980" s="154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</row>
    <row r="981">
      <c r="A981" s="154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</row>
    <row r="982">
      <c r="A982" s="154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</row>
    <row r="983">
      <c r="A983" s="154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</row>
    <row r="984">
      <c r="A984" s="154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</row>
    <row r="985">
      <c r="A985" s="154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</row>
    <row r="986">
      <c r="A986" s="154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</row>
    <row r="987">
      <c r="A987" s="154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</row>
    <row r="988">
      <c r="A988" s="154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</row>
    <row r="989">
      <c r="A989" s="154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</row>
    <row r="990">
      <c r="A990" s="154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</row>
    <row r="991">
      <c r="A991" s="154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</row>
    <row r="992">
      <c r="A992" s="154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</row>
    <row r="993">
      <c r="A993" s="154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</row>
    <row r="994">
      <c r="A994" s="154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</row>
    <row r="995">
      <c r="A995" s="154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</row>
    <row r="996">
      <c r="A996" s="154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</row>
    <row r="997">
      <c r="A997" s="154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</row>
    <row r="998">
      <c r="A998" s="154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</row>
    <row r="999">
      <c r="A999" s="154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</row>
    <row r="1000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</row>
    <row r="1001">
      <c r="A1001" s="154"/>
      <c r="B1001" s="154"/>
      <c r="C1001" s="154"/>
      <c r="D1001" s="154"/>
      <c r="E1001" s="154"/>
      <c r="F1001" s="154"/>
      <c r="G1001" s="154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  <c r="Z1001" s="154"/>
    </row>
    <row r="1002">
      <c r="A1002" s="154"/>
      <c r="B1002" s="154"/>
      <c r="C1002" s="154"/>
      <c r="D1002" s="154"/>
      <c r="E1002" s="154"/>
      <c r="F1002" s="154"/>
      <c r="G1002" s="154"/>
      <c r="H1002" s="154"/>
      <c r="I1002" s="154"/>
      <c r="J1002" s="154"/>
      <c r="K1002" s="154"/>
      <c r="L1002" s="154"/>
      <c r="M1002" s="154"/>
      <c r="N1002" s="154"/>
      <c r="O1002" s="154"/>
      <c r="P1002" s="154"/>
      <c r="Q1002" s="154"/>
      <c r="R1002" s="154"/>
      <c r="S1002" s="154"/>
      <c r="T1002" s="154"/>
      <c r="U1002" s="154"/>
      <c r="V1002" s="154"/>
      <c r="W1002" s="154"/>
      <c r="X1002" s="154"/>
      <c r="Y1002" s="154"/>
      <c r="Z1002" s="154"/>
    </row>
    <row r="1003">
      <c r="A1003" s="154"/>
      <c r="B1003" s="154"/>
      <c r="C1003" s="154"/>
      <c r="D1003" s="154"/>
      <c r="E1003" s="154"/>
      <c r="F1003" s="154"/>
      <c r="G1003" s="154"/>
      <c r="H1003" s="154"/>
      <c r="I1003" s="154"/>
      <c r="J1003" s="154"/>
      <c r="K1003" s="154"/>
      <c r="L1003" s="154"/>
      <c r="M1003" s="154"/>
      <c r="N1003" s="154"/>
      <c r="O1003" s="154"/>
      <c r="P1003" s="154"/>
      <c r="Q1003" s="154"/>
      <c r="R1003" s="154"/>
      <c r="S1003" s="154"/>
      <c r="T1003" s="154"/>
      <c r="U1003" s="154"/>
      <c r="V1003" s="154"/>
      <c r="W1003" s="154"/>
      <c r="X1003" s="154"/>
      <c r="Y1003" s="154"/>
      <c r="Z1003" s="154"/>
    </row>
  </sheetData>
  <hyperlinks>
    <hyperlink r:id="rId1" ref="B2"/>
  </hyperlinks>
  <drawing r:id="rId2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4.43"/>
    <col customWidth="1" min="3" max="3" width="20.29"/>
    <col customWidth="1" min="4" max="26" width="8.71"/>
  </cols>
  <sheetData>
    <row r="1">
      <c r="A1" s="160" t="s">
        <v>36</v>
      </c>
      <c r="B1" s="160" t="s">
        <v>54</v>
      </c>
      <c r="C1" s="160" t="s">
        <v>63</v>
      </c>
    </row>
    <row r="2">
      <c r="A2" s="160" t="s">
        <v>35</v>
      </c>
      <c r="B2" s="160" t="s">
        <v>58</v>
      </c>
      <c r="C2" s="160" t="s">
        <v>67</v>
      </c>
    </row>
    <row r="3">
      <c r="A3" s="160" t="s">
        <v>40</v>
      </c>
      <c r="C3" s="160" t="s">
        <v>60</v>
      </c>
    </row>
    <row r="4">
      <c r="A4" s="160" t="s">
        <v>33</v>
      </c>
      <c r="C4" s="160" t="s">
        <v>59</v>
      </c>
    </row>
    <row r="5">
      <c r="A5" s="92" t="s">
        <v>38</v>
      </c>
      <c r="C5" s="160" t="s">
        <v>62</v>
      </c>
    </row>
    <row r="6">
      <c r="A6" s="160" t="s">
        <v>30</v>
      </c>
      <c r="C6" s="92" t="s">
        <v>57</v>
      </c>
    </row>
    <row r="7">
      <c r="A7" s="160" t="s">
        <v>34</v>
      </c>
      <c r="C7" s="160" t="s">
        <v>111</v>
      </c>
    </row>
    <row r="8">
      <c r="A8" s="160" t="s">
        <v>32</v>
      </c>
      <c r="C8" s="160" t="s">
        <v>66</v>
      </c>
    </row>
    <row r="9">
      <c r="A9" s="160" t="s">
        <v>26</v>
      </c>
      <c r="C9" s="160" t="s">
        <v>56</v>
      </c>
    </row>
    <row r="10">
      <c r="A10" s="160" t="s">
        <v>37</v>
      </c>
      <c r="C10" s="160" t="s">
        <v>55</v>
      </c>
    </row>
    <row r="11">
      <c r="A11" s="160" t="s">
        <v>29</v>
      </c>
      <c r="C11" s="160" t="s">
        <v>70</v>
      </c>
    </row>
    <row r="12">
      <c r="A12" s="160" t="s">
        <v>27</v>
      </c>
      <c r="C12" s="160" t="s">
        <v>61</v>
      </c>
    </row>
    <row r="13">
      <c r="A13" s="160" t="s">
        <v>25</v>
      </c>
    </row>
    <row r="14">
      <c r="A14" s="92" t="s">
        <v>39</v>
      </c>
    </row>
    <row r="15">
      <c r="A15" s="160" t="s">
        <v>31</v>
      </c>
    </row>
    <row r="16">
      <c r="A16" s="160" t="s">
        <v>28</v>
      </c>
    </row>
    <row r="17">
      <c r="A17" s="92" t="s">
        <v>44</v>
      </c>
    </row>
    <row r="18">
      <c r="A18" s="160" t="s">
        <v>112</v>
      </c>
    </row>
    <row r="19">
      <c r="A19" s="160" t="s">
        <v>71</v>
      </c>
    </row>
    <row r="20">
      <c r="A20" s="160" t="s">
        <v>113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